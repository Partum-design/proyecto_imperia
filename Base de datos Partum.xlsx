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_Listas" sheetId="1" r:id="rId5"/>
    <sheet state="visible" name="Cronograma Mayo 2026" sheetId="2" r:id="rId6"/>
    <sheet state="visible" name="Dashboard" sheetId="3" r:id="rId7"/>
    <sheet state="visible" name="Evaluación direccion Gral" sheetId="4" r:id="rId8"/>
  </sheets>
  <definedNames>
    <definedName hidden="1" localSheetId="1" name="_xlnm._FilterDatabase">'Cronograma Mayo 2026'!$A$1:$AC$184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<sst xmlns="http://schemas.openxmlformats.org/spreadsheetml/2006/main" count="1306" uniqueCount="83">
  <si>
    <t>Empleados</t>
  </si>
  <si>
    <t>Correo</t>
  </si>
  <si>
    <t>Cientes</t>
  </si>
  <si>
    <t>Departamento</t>
  </si>
  <si>
    <t>Andres Bautista Maricruz</t>
  </si>
  <si>
    <t>maricruz@partumdesign.com.mx</t>
  </si>
  <si>
    <t>HAFTEN</t>
  </si>
  <si>
    <t>RH</t>
  </si>
  <si>
    <t>Lopez Lopez Brayan Fernando</t>
  </si>
  <si>
    <t>bryan.lopez@partumdesign.com.mx</t>
  </si>
  <si>
    <t>Efficient Plastic Colors</t>
  </si>
  <si>
    <t>Finanzas</t>
  </si>
  <si>
    <t>Rocha Colin Berenice</t>
  </si>
  <si>
    <t>berenice@partumdesign.com.mx</t>
  </si>
  <si>
    <t>Regreso al Origen</t>
  </si>
  <si>
    <t>Diseño</t>
  </si>
  <si>
    <t>Samperio Sanchez Fernanda Abigail</t>
  </si>
  <si>
    <t>fernanda@partumdesign.com.mx</t>
  </si>
  <si>
    <t>BIOS</t>
  </si>
  <si>
    <t>Diseño web</t>
  </si>
  <si>
    <t>Sanchez Ramos Pamela Anaid</t>
  </si>
  <si>
    <t>SMART STORANGE</t>
  </si>
  <si>
    <t>Admin. Páginas</t>
  </si>
  <si>
    <t>Valenzo Rodriguez Alejandra Gabriela</t>
  </si>
  <si>
    <t>gabriela.valenzo@partumdesign.com.mx</t>
  </si>
  <si>
    <t>CIYÉ</t>
  </si>
  <si>
    <t>Perla Guadalupe Ureña Carbajal</t>
  </si>
  <si>
    <t>perla@indusecc.com.mx</t>
  </si>
  <si>
    <t>NESGAR</t>
  </si>
  <si>
    <t>MARACE MARKETING EPICO</t>
  </si>
  <si>
    <t>Repissa</t>
  </si>
  <si>
    <t>SUSS Consulting</t>
  </si>
  <si>
    <t>PUBLIMAX</t>
  </si>
  <si>
    <t>MC Spin</t>
  </si>
  <si>
    <t>PARTUM</t>
  </si>
  <si>
    <t>INDUSECC</t>
  </si>
  <si>
    <t>Xigma</t>
  </si>
  <si>
    <t>Synergen Talent</t>
  </si>
  <si>
    <t>Fecha de inicio</t>
  </si>
  <si>
    <t>Fecha de entrega</t>
  </si>
  <si>
    <t>Mes</t>
  </si>
  <si>
    <t>Colaborador</t>
  </si>
  <si>
    <t>Cliente</t>
  </si>
  <si>
    <t>Actividad</t>
  </si>
  <si>
    <t>%Avance</t>
  </si>
  <si>
    <t xml:space="preserve">Estado </t>
  </si>
  <si>
    <t xml:space="preserve">Retrasos </t>
  </si>
  <si>
    <t>Notas</t>
  </si>
  <si>
    <t>Prueba</t>
  </si>
  <si>
    <t/>
  </si>
  <si>
    <t>TABLA 1 :Estado general de los proyectos</t>
  </si>
  <si>
    <t xml:space="preserve">TABLA 3: Desempeño por colaborador </t>
  </si>
  <si>
    <t>TABLA 5: Avance promedio</t>
  </si>
  <si>
    <t>COUNTA de Actividad</t>
  </si>
  <si>
    <t>Completado</t>
  </si>
  <si>
    <t>En progreso</t>
  </si>
  <si>
    <t>Sin iniciar</t>
  </si>
  <si>
    <t>Suma total</t>
  </si>
  <si>
    <t xml:space="preserve">TABLA 2: Proyectos en tiempo vs fuera de tiempo </t>
  </si>
  <si>
    <t>TABLA 6: Proyectos cancelados</t>
  </si>
  <si>
    <t>TABLA 4: Desempeño por departamento</t>
  </si>
  <si>
    <t>Tarjetas de puntuación</t>
  </si>
  <si>
    <t>KPI 1: % Avance Global (Promedio de todas las tareas).</t>
  </si>
  <si>
    <t>KPI de Desempeño Integral (0-100)</t>
  </si>
  <si>
    <t>% Avance Real</t>
  </si>
  <si>
    <t>Calidad</t>
  </si>
  <si>
    <t>Índice de Desempeño</t>
  </si>
  <si>
    <t>Valenzo Rodriguez Alejandra Gabriela, Perla Guadalupe Ureña Carbajal</t>
  </si>
  <si>
    <t>Marca temporal</t>
  </si>
  <si>
    <t>Seleccione al colaborador a evaluar</t>
  </si>
  <si>
    <t>Columna 2</t>
  </si>
  <si>
    <t>Seleccione el departamento correspondiente</t>
  </si>
  <si>
    <t>¿El entregable o tarea cumplió con los estándares de excelencia requeridos sin necesidad de retrabajo?</t>
  </si>
  <si>
    <t>¿Tomó en cuenta y aplicó los comentarios de mejora indicados previamente?</t>
  </si>
  <si>
    <t xml:space="preserve">¿El colaborador respetó los tiempos de entrega pactados en el sistema de tareas? </t>
  </si>
  <si>
    <t xml:space="preserve">¿Qué tanta supervisión requirió el colaborador para finalizar la tarea con éxito? </t>
  </si>
  <si>
    <t xml:space="preserve">¿Qué tanto contribuyó el trabajo de esta persona al éxito final del proyecto o departamento? </t>
  </si>
  <si>
    <t>¿Fue capaz de resolver problemas de manera eficiente en sus actividades diarias?</t>
  </si>
  <si>
    <t xml:space="preserve">¿El colaborador propuso mejoras o soluciones ante imprevistos durante la ejecución? </t>
  </si>
  <si>
    <t>¿Mantuvo un seguimiento adecuado y oportuno con los clientes?</t>
  </si>
  <si>
    <t xml:space="preserve">  Describa el punto más fuerte del colaborador en este periodo.  </t>
  </si>
  <si>
    <t xml:space="preserve">  ¿En qué competencia técnica o blanda necesita reforzar para subir su nivel?  </t>
  </si>
  <si>
    <t>Observaciones adicionales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</si>
</sst>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5" numFmtId="0" xfId="0" applyAlignment="1" applyFont="1">
      <alignment readingOrder="0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165" xfId="0" applyFont="1" applyNumberFormat="1"/>
    <xf borderId="0" fillId="0" fontId="2" numFmtId="10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15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Evaluación direccion Gral-style">
      <tableStyleElement dxfId="11" type="headerRow"/>
      <tableStyleElement dxfId="12" type="firstRowStripe"/>
      <tableStyleElement dxfId="13" type="secondRowStripe"/>
      <tableStyleElement dxfId="1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84" sheet="Cronograma Mayo 2026"/>
  </cacheSource>
  <cacheFields>
    <cacheField name="Fecha de inicio" numFmtId="164">
      <sharedItems containsDate="1" containsString="0" containsBlank="1">
        <d v="2026-03-01T00:00:00Z"/>
        <m/>
      </sharedItems>
    </cacheField>
    <cacheField name="Fecha de entrega" numFmtId="165">
      <sharedItems containsDate="1" containsString="0" containsBlank="1">
        <d v="2026-05-19T00:00:00Z"/>
        <m/>
      </sharedItems>
    </cacheField>
    <cacheField name="Mes" numFmtId="164">
      <sharedItems>
        <s v="mayo"/>
        <s v="diciembre"/>
      </sharedItems>
    </cacheField>
    <cacheField name="Colaborador" numFmtId="0">
      <sharedItems>
        <s v="Perla Guadalupe Ureña Carbajal"/>
        <s v="Sanchez Ramos Pamela Anaid"/>
        <s v="Rocha Colin Berenice"/>
        <s v="Lopez Lopez Brayan Fernando"/>
        <s v="Samperio Sanchez Fernanda Abigail"/>
        <s v="Valenzo Rodriguez Alejandra Gabriela"/>
        <s v="Andres Bautista Maricruz"/>
      </sharedItems>
    </cacheField>
    <cacheField name="Correo" numFmtId="0">
      <sharedItems containsBlank="1">
        <s v="perla@indusecc.com.mx"/>
        <m/>
        <s v="berenice@partumdesign.com.mx"/>
        <s v="bryan.lopez@partumdesign.com.mx"/>
        <s v="fernanda@partumdesign.com.mx"/>
        <s v="gabriela.valenzo@partumdesign.com.mx"/>
        <s v="maricruz@partumdesign.com.mx"/>
      </sharedItems>
    </cacheField>
    <cacheField name="Cliente" numFmtId="0">
      <sharedItems containsBlank="1">
        <s v="SMART STORANGE"/>
        <s v="Efficient Plastic Colors"/>
        <s v="PARTUM"/>
        <s v="SUSS Consulting"/>
        <m/>
      </sharedItems>
    </cacheField>
    <cacheField name="Departamento" numFmtId="0">
      <sharedItems containsBlank="1">
        <s v="Diseño"/>
        <s v="Admin. Páginas"/>
        <s v="Finanzas"/>
        <s v="Diseño web"/>
        <m/>
      </sharedItems>
    </cacheField>
    <cacheField name="Actividad" numFmtId="0">
      <sharedItems containsBlank="1">
        <s v="Prueba"/>
        <m/>
      </sharedItems>
    </cacheField>
    <cacheField name="%Avance" numFmtId="10">
      <sharedItems containsString="0" containsBlank="1" containsNumber="1">
        <n v="0.8"/>
        <n v="0.09"/>
        <n v="0.08"/>
        <n v="0.9"/>
        <n v="1.0"/>
        <n v="0.7"/>
        <m/>
      </sharedItems>
    </cacheField>
    <cacheField name="Estado " numFmtId="0">
      <sharedItems>
        <s v="En progreso"/>
        <s v="Completado"/>
        <s v="Sin iniciar"/>
      </sharedItems>
    </cacheField>
    <cacheField name="Retrasos " numFmtId="0">
      <sharedItems>
        <s v="✅ OK"/>
        <s v="❌ Cancelado"/>
      </sharedItems>
    </cacheField>
    <cacheField name="Nota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3:B7" firstHeaderRow="0" firstDataRow="1" firstDataCol="0"/>
  <pivotFields>
    <pivotField name="Fecha de inicio" compact="0" numFmtId="164" outline="0" multipleItemSelectionAllowed="1" showAll="0">
      <items>
        <item x="0"/>
        <item x="1"/>
        <item t="default"/>
      </items>
    </pivotField>
    <pivotField name="Fecha de entrega" compact="0" numFmtId="165" outline="0" multipleItemSelectionAllowed="1" showAll="0">
      <items>
        <item x="0"/>
        <item x="1"/>
        <item t="default"/>
      </items>
    </pivotField>
    <pivotField name="Mes" compact="0" numFmtId="164" outline="0" multipleItemSelectionAllowed="1" showAll="0">
      <items>
        <item x="0"/>
        <item x="1"/>
        <item t="default"/>
      </items>
    </pivotField>
    <pivotField name="Colaborad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rre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tividad" dataField="1" compact="0" outline="0" multipleItemSelectionAllowed="1" showAll="0">
      <items>
        <item x="0"/>
        <item x="1"/>
        <item t="default"/>
      </items>
    </pivotField>
    <pivotField name="%Avance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" axis="axisRow" compact="0" outline="0" multipleItemSelectionAllowed="1" showAll="0" sortType="ascending">
      <items>
        <item x="1"/>
        <item x="0"/>
        <item x="2"/>
        <item t="default"/>
      </items>
    </pivotField>
    <pivotField name="Retrasos " compact="0" outline="0" multipleItemSelectionAllowed="1" showAll="0">
      <items>
        <item x="0"/>
        <item x="1"/>
        <item t="default"/>
      </items>
    </pivotField>
    <pivotField name="Notas" compact="0" outline="0" multipleItemSelectionAllowed="1" showAll="0">
      <items>
        <item x="0"/>
        <item t="default"/>
      </items>
    </pivotField>
  </pivotFields>
  <rowFields>
    <field x="9"/>
  </rowFields>
  <dataFields>
    <dataField name="COUNTA of Actividad" fld="7" subtotal="count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compact="0" compactData="0">
  <location ref="D3:D12" firstHeaderRow="0" firstDataRow="1" firstDataCol="1"/>
  <pivotFields>
    <pivotField name="Fecha de inicio" compact="0" numFmtId="164" outline="0" multipleItemSelectionAllowed="1" showAll="0">
      <items>
        <item x="0"/>
        <item x="1"/>
        <item t="default"/>
      </items>
    </pivotField>
    <pivotField name="Fecha de entrega" compact="0" numFmtId="165" outline="0" multipleItemSelectionAllowed="1" showAll="0">
      <items>
        <item x="0"/>
        <item x="1"/>
        <item t="default"/>
      </items>
    </pivotField>
    <pivotField name="Mes" compact="0" numFmtId="164" outline="0" multipleItemSelectionAllowed="1" showAll="0">
      <items>
        <item x="0"/>
        <item x="1"/>
        <item t="default"/>
      </items>
    </pivotField>
    <pivotField name="Colaborador" axis="axisRow" compact="0" outline="0" multipleItemSelectionAllowed="1" showAll="0" sortType="ascending">
      <items>
        <item x="6"/>
        <item x="3"/>
        <item x="0"/>
        <item x="2"/>
        <item x="4"/>
        <item x="1"/>
        <item x="5"/>
        <item t="default"/>
      </items>
    </pivotField>
    <pivotField name="Corre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tividad" dataField="1" compact="0" outline="0" multipleItemSelectionAllowed="1" showAll="0">
      <items>
        <item x="0"/>
        <item x="1"/>
        <item t="default"/>
      </items>
    </pivotField>
    <pivotField name="%Avance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" axis="axisCol" compact="0" outline="0" multipleItemSelectionAllowed="1" showAll="0" sortType="ascending">
      <items>
        <item x="1"/>
        <item x="0"/>
        <item x="2"/>
        <item t="default"/>
      </items>
    </pivotField>
    <pivotField name="Retrasos " compact="0" outline="0" multipleItemSelectionAllowed="1" showAll="0">
      <items>
        <item x="0"/>
        <item x="1"/>
        <item t="default"/>
      </items>
    </pivotField>
    <pivotField name="Notas" compact="0" outline="0" multipleItemSelectionAllowed="1" showAll="0">
      <items>
        <item x="0"/>
        <item t="default"/>
      </items>
    </pivotField>
  </pivotFields>
  <rowFields>
    <field x="3"/>
  </rowFields>
  <colFields>
    <field x="9"/>
  </colFields>
  <dataFields>
    <dataField name="TABLA 3:Desempeño por colaborador " fld="7" subtotal="count" baseField="0"/>
  </dataFields>
</pivotTableDefinition>
</file>

<file path=xl/pivotTables/pivotTable3.xml><?xml version="1.0" encoding="utf-8"?>
<pivotTableDefinition xmlns="http://schemas.openxmlformats.org/spreadsheetml/2006/main" name="Dashboard 3" cacheId="0" dataCaption="" compact="0" compactData="0">
  <location ref="J3:J11" firstHeaderRow="0" firstDataRow="1" firstDataCol="0"/>
  <pivotFields>
    <pivotField name="Fecha de inicio" compact="0" numFmtId="164" outline="0" multipleItemSelectionAllowed="1" showAll="0">
      <items>
        <item x="0"/>
        <item x="1"/>
        <item t="default"/>
      </items>
    </pivotField>
    <pivotField name="Fecha de entrega" compact="0" numFmtId="165" outline="0" multipleItemSelectionAllowed="1" showAll="0">
      <items>
        <item x="0"/>
        <item x="1"/>
        <item t="default"/>
      </items>
    </pivotField>
    <pivotField name="Mes" compact="0" numFmtId="164" outline="0" multipleItemSelectionAllowed="1" showAll="0">
      <items>
        <item x="0"/>
        <item x="1"/>
        <item t="default"/>
      </items>
    </pivotField>
    <pivotField name="Colaborador" axis="axisRow" compact="0" outline="0" multipleItemSelectionAllowed="1" showAll="0" sortType="ascending">
      <items>
        <item x="6"/>
        <item x="3"/>
        <item x="0"/>
        <item x="2"/>
        <item x="4"/>
        <item x="1"/>
        <item x="5"/>
        <item t="default"/>
      </items>
    </pivotField>
    <pivotField name="Corre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tividad" compact="0" outline="0" multipleItemSelectionAllowed="1" showAll="0">
      <items>
        <item x="0"/>
        <item x="1"/>
        <item t="default"/>
      </items>
    </pivotField>
    <pivotField name="%Avanc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" compact="0" outline="0" multipleItemSelectionAllowed="1" showAll="0">
      <items>
        <item x="0"/>
        <item x="1"/>
        <item x="2"/>
        <item t="default"/>
      </items>
    </pivotField>
    <pivotField name="Retrasos " compact="0" outline="0" multipleItemSelectionAllowed="1" showAll="0">
      <items>
        <item x="0"/>
        <item x="1"/>
        <item t="default"/>
      </items>
    </pivotField>
    <pivotField name="Notas" compact="0" outline="0" multipleItemSelectionAllowed="1" showAll="0">
      <items>
        <item x="0"/>
        <item t="default"/>
      </items>
    </pivotField>
  </pivotFields>
  <rowFields>
    <field x="3"/>
  </rowFields>
  <dataFields>
    <dataField name="Promedio de avance" fld="8" subtotal="average" baseField="0"/>
  </dataFields>
</pivotTableDefinition>
</file>

<file path=xl/pivotTables/pivotTable4.xml><?xml version="1.0" encoding="utf-8"?>
<pivotTableDefinition xmlns="http://schemas.openxmlformats.org/spreadsheetml/2006/main" name="Dashboard 4" cacheId="0" dataCaption="" compact="0" compactData="0">
  <location ref="A10:B18" firstHeaderRow="0" firstDataRow="1" firstDataCol="0"/>
  <pivotFields>
    <pivotField name="Fecha de inicio" compact="0" numFmtId="164" outline="0" multipleItemSelectionAllowed="1" showAll="0">
      <items>
        <item x="0"/>
        <item x="1"/>
        <item t="default"/>
      </items>
    </pivotField>
    <pivotField name="Fecha de entrega" compact="0" numFmtId="165" outline="0" multipleItemSelectionAllowed="1" showAll="0">
      <items>
        <item x="0"/>
        <item x="1"/>
        <item t="default"/>
      </items>
    </pivotField>
    <pivotField name="Mes" compact="0" numFmtId="164" outline="0" multipleItemSelectionAllowed="1" showAll="0">
      <items>
        <item x="0"/>
        <item x="1"/>
        <item t="default"/>
      </items>
    </pivotField>
    <pivotField name="Colaborador" axis="axisRow" compact="0" outline="0" multipleItemSelectionAllowed="1" showAll="0" sortType="ascending">
      <items>
        <item x="6"/>
        <item x="3"/>
        <item x="0"/>
        <item x="2"/>
        <item x="4"/>
        <item x="1"/>
        <item x="5"/>
        <item t="default"/>
      </items>
    </pivotField>
    <pivotField name="Corre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amen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tividad" dataField="1" compact="0" outline="0" multipleItemSelectionAllowed="1" showAll="0">
      <items>
        <item x="0"/>
        <item x="1"/>
        <item t="default"/>
      </items>
    </pivotField>
    <pivotField name="%Avance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" compact="0" outline="0" multipleItemSelectionAllowed="1" showAll="0">
      <items>
        <item x="0"/>
        <item x="1"/>
        <item x="2"/>
        <item t="default"/>
      </items>
    </pivotField>
    <pivotField name="Retrasos " compact="0" outline="0" multipleItemSelectionAllowed="1" showAll="0">
      <items>
        <item x="0"/>
        <item x="1"/>
        <item t="default"/>
      </items>
    </pivotField>
    <pivotField name="Notas" compact="0" outline="0" multipleItemSelectionAllowed="1" showAll="0">
      <items>
        <item x="0"/>
        <item t="default"/>
      </items>
    </pivotField>
  </pivotFields>
  <rowFields>
    <field x="3"/>
  </rowFields>
  <dataFields>
    <dataField name="COUNTA of Actividad" fld="7" subtotal="count" baseField="0"/>
  </dataFields>
</pivotTableDefinition>
</file>

<file path=xl/pivotTables/pivotTable5.xml><?xml version="1.0" encoding="utf-8"?>
<pivotTableDefinition xmlns="http://schemas.openxmlformats.org/spreadsheetml/2006/main" name="Dashboard 5" cacheId="0" dataCaption="" compact="0" compactData="0">
  <location ref="D12:F15" firstHeaderRow="0" firstDataRow="1" firstDataCol="1" rowPageCount="1" colPageCount="1"/>
  <pivotFields>
    <pivotField name="Fecha de inicio" compact="0" numFmtId="164" outline="0" multipleItemSelectionAllowed="1" showAll="0">
      <items>
        <item x="0"/>
        <item x="1"/>
        <item t="default"/>
      </items>
    </pivotField>
    <pivotField name="Fecha de entrega" compact="0" numFmtId="165" outline="0" multipleItemSelectionAllowed="1" showAll="0">
      <items>
        <item x="0"/>
        <item x="1"/>
        <item t="default"/>
      </items>
    </pivotField>
    <pivotField name="Mes" compact="0" numFmtId="164" outline="0" multipleItemSelectionAllowed="1" showAll="0">
      <items>
        <item x="0"/>
        <item x="1"/>
        <item t="default"/>
      </items>
    </pivotField>
    <pivotField name="Colaborad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rre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amento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Actividad" dataField="1" compact="0" outline="0" multipleItemSelectionAllowed="1" showAll="0">
      <items>
        <item x="0"/>
        <item x="1"/>
        <item t="default"/>
      </items>
    </pivotField>
    <pivotField name="%Avance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" axis="axisCol" compact="0" outline="0" multipleItemSelectionAllowed="1" showAll="0" sortType="ascending">
      <items>
        <item x="1"/>
        <item x="0"/>
        <item x="2"/>
        <item t="default"/>
      </items>
    </pivotField>
    <pivotField name="Retrasos " axis="axisPage" compact="0" outline="0" multipleItemSelectionAllowed="1" showAll="0">
      <items>
        <item x="0"/>
        <item h="1" x="1"/>
        <item t="default"/>
      </items>
    </pivotField>
    <pivotField name="Notas" compact="0" outline="0" multipleItemSelectionAllowed="1" showAll="0">
      <items>
        <item x="0"/>
        <item t="default"/>
      </items>
    </pivotField>
  </pivotFields>
  <rowFields>
    <field x="6"/>
  </rowFields>
  <colFields>
    <field x="9"/>
  </colFields>
  <pageFields>
    <pageField fld="10"/>
  </pageFields>
  <dataFields>
    <dataField name="TABLA 4: Desempeño por departamento" fld="7" subtotal="count" baseField="0"/>
  </dataFields>
</pivotTableDefinition>
</file>

<file path=xl/pivotTables/pivotTable6.xml><?xml version="1.0" encoding="utf-8"?>
<pivotTableDefinition xmlns="http://schemas.openxmlformats.org/spreadsheetml/2006/main" name="Dashboard 6" cacheId="0" dataCaption="" compact="0" compactData="0">
  <location ref="J12:K18" firstHeaderRow="0" firstDataRow="1" firstDataCol="0" rowPageCount="1" colPageCount="1"/>
  <pivotFields>
    <pivotField name="Fecha de inicio" compact="0" numFmtId="164" outline="0" multipleItemSelectionAllowed="1" showAll="0">
      <items>
        <item x="0"/>
        <item x="1"/>
        <item t="default"/>
      </items>
    </pivotField>
    <pivotField name="Fecha de entrega" compact="0" numFmtId="165" outline="0" multipleItemSelectionAllowed="1" showAll="0">
      <items>
        <item x="0"/>
        <item x="1"/>
        <item t="default"/>
      </items>
    </pivotField>
    <pivotField name="Mes" compact="0" numFmtId="164" outline="0" multipleItemSelectionAllowed="1" showAll="0">
      <items>
        <item x="0"/>
        <item x="1"/>
        <item t="default"/>
      </items>
    </pivotField>
    <pivotField name="Colaborad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rre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amento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Actividad" dataField="1" compact="0" outline="0" multipleItemSelectionAllowed="1" showAll="0">
      <items>
        <item x="0"/>
        <item x="1"/>
        <item t="default"/>
      </items>
    </pivotField>
    <pivotField name="%Avance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ado " compact="0" outline="0" multipleItemSelectionAllowed="1" showAll="0">
      <items>
        <item x="0"/>
        <item x="1"/>
        <item x="2"/>
        <item t="default"/>
      </items>
    </pivotField>
    <pivotField name="Retrasos " axis="axisPage" compact="0" outline="0" multipleItemSelectionAllowed="1" showAll="0">
      <items>
        <item h="1" x="0"/>
        <item x="1"/>
        <item t="default"/>
      </items>
    </pivotField>
    <pivotField name="Notas" compact="0" outline="0" multipleItemSelectionAllowed="1" showAll="0">
      <items>
        <item x="0"/>
        <item t="default"/>
      </items>
    </pivotField>
  </pivotFields>
  <rowFields>
    <field x="6"/>
  </rowFields>
  <pageFields>
    <pageField fld="10"/>
  </pageFields>
  <dataFields>
    <dataField name="COUNTA of Actividad" fld="7" subtotal="count" baseField="0"/>
  </dataFields>
</pivotTableDefinition>
</file>

<file path=xl/tables/table1.xml><?xml version="1.0" encoding="utf-8"?>
<table xmlns="http://schemas.openxmlformats.org/spreadsheetml/2006/main" headerRowCount="0" ref="A1:O1" displayName="Form_Responses" name="Form_Responses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Evaluación direccion Gr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2.0"/>
    <col customWidth="1" min="3" max="3" width="27.3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4" t="s">
        <v>6</v>
      </c>
      <c r="D2" s="4" t="s">
        <v>7</v>
      </c>
    </row>
    <row r="3">
      <c r="A3" s="4" t="s">
        <v>8</v>
      </c>
      <c r="B3" s="4" t="s">
        <v>9</v>
      </c>
      <c r="C3" s="5" t="s">
        <v>10</v>
      </c>
      <c r="D3" s="4" t="s">
        <v>11</v>
      </c>
    </row>
    <row r="4">
      <c r="A4" s="4" t="s">
        <v>12</v>
      </c>
      <c r="B4" s="4" t="s">
        <v>13</v>
      </c>
      <c r="C4" s="4" t="s">
        <v>14</v>
      </c>
      <c r="D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</row>
    <row r="6">
      <c r="A6" s="4" t="s">
        <v>20</v>
      </c>
      <c r="B6" s="4"/>
      <c r="C6" s="4" t="s">
        <v>21</v>
      </c>
      <c r="D6" s="4" t="s">
        <v>22</v>
      </c>
    </row>
    <row r="7">
      <c r="A7" s="4" t="s">
        <v>23</v>
      </c>
      <c r="B7" s="4" t="s">
        <v>24</v>
      </c>
      <c r="C7" s="4" t="s">
        <v>25</v>
      </c>
    </row>
    <row r="8">
      <c r="A8" s="4" t="s">
        <v>26</v>
      </c>
      <c r="B8" s="4" t="s">
        <v>27</v>
      </c>
      <c r="C8" s="4" t="s">
        <v>28</v>
      </c>
    </row>
    <row r="9">
      <c r="C9" s="4" t="s">
        <v>29</v>
      </c>
    </row>
    <row r="10">
      <c r="C10" s="4" t="s">
        <v>30</v>
      </c>
    </row>
    <row r="11">
      <c r="C11" s="4" t="s">
        <v>31</v>
      </c>
    </row>
    <row r="12">
      <c r="C12" s="4" t="s">
        <v>32</v>
      </c>
    </row>
    <row r="13">
      <c r="C13" s="4" t="s">
        <v>33</v>
      </c>
    </row>
    <row r="14">
      <c r="C14" s="4" t="s">
        <v>34</v>
      </c>
    </row>
    <row r="15">
      <c r="C15" s="4" t="s">
        <v>35</v>
      </c>
    </row>
    <row r="16">
      <c r="C16" s="4" t="s">
        <v>36</v>
      </c>
    </row>
    <row r="17">
      <c r="C17" s="4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0.25"/>
    <col customWidth="1" min="3" max="3" width="18.13"/>
    <col customWidth="1" min="4" max="5" width="32.0"/>
    <col customWidth="1" min="7" max="7" width="18.5"/>
    <col customWidth="1" min="8" max="8" width="47.0"/>
    <col customWidth="1" min="12" max="12" width="40.75"/>
  </cols>
  <sheetData>
    <row r="1">
      <c r="A1" s="6" t="s">
        <v>38</v>
      </c>
      <c r="B1" s="6" t="s">
        <v>39</v>
      </c>
      <c r="C1" s="6" t="s">
        <v>40</v>
      </c>
      <c r="D1" s="6" t="s">
        <v>41</v>
      </c>
      <c r="E1" s="6" t="s">
        <v>1</v>
      </c>
      <c r="F1" s="6" t="s">
        <v>42</v>
      </c>
      <c r="G1" s="6" t="s">
        <v>3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</row>
    <row r="2">
      <c r="A2" s="7">
        <v>46082.0</v>
      </c>
      <c r="B2" s="8">
        <v>46161.0</v>
      </c>
      <c r="C2" s="9" t="str">
        <f t="shared" ref="C2:C184" si="1">TEXT(B2,"MMMM")</f>
        <v>mayo</v>
      </c>
      <c r="D2" s="10" t="s">
        <v>26</v>
      </c>
      <c r="E2" s="11" t="str">
        <f t="array" ref="E2:E1000">IF(D2:D1000="","",IFERROR(VLOOKUP(D2:D1000,Conf_Listas!A:B,2,FALSE),""))</f>
        <v>perla@indusecc.com.mx</v>
      </c>
      <c r="F2" s="4" t="s">
        <v>21</v>
      </c>
      <c r="G2" s="4" t="s">
        <v>15</v>
      </c>
      <c r="H2" s="4" t="s">
        <v>48</v>
      </c>
      <c r="I2" s="12">
        <v>0.8</v>
      </c>
      <c r="J2" s="11" t="str">
        <f t="shared" ref="J2:J8" si="2">IF(I2=0%,"Sin iniciar",IF(I2=1%,"En progreso",IF(I2&lt;100%,"En progreso","Completado")))
</f>
        <v>En progreso</v>
      </c>
      <c r="K2" s="10" t="str">
        <f t="shared" ref="K2:K184" si="3">IF(AND(ISBLANK(A2),ISBLANK(B2)),"❌ Cancelado",
 IF(ISBLANK(B2),"⏸️ En pausa",
 IF(AND(TODAY()&gt;B2,J2&lt;&gt;"Completado"),"⚠️ Vencida",
 IF(J2="Completado","✅ OK",
 IF(J2="En progreso","✅ OK",
 IF(J2="Sin iniciar","Sin iniciar",""))))))
</f>
        <v>✅ OK</v>
      </c>
    </row>
    <row r="3">
      <c r="A3" s="8"/>
      <c r="B3" s="8"/>
      <c r="C3" s="9" t="str">
        <f t="shared" si="1"/>
        <v>diciembre</v>
      </c>
      <c r="D3" s="10" t="s">
        <v>20</v>
      </c>
      <c r="E3" s="4"/>
      <c r="F3" s="4" t="s">
        <v>21</v>
      </c>
      <c r="G3" s="4" t="s">
        <v>22</v>
      </c>
      <c r="I3" s="12">
        <v>0.09</v>
      </c>
      <c r="J3" s="11" t="str">
        <f t="shared" si="2"/>
        <v>En progreso</v>
      </c>
      <c r="K3" s="4" t="str">
        <f t="shared" si="3"/>
        <v>❌ Cancelado</v>
      </c>
    </row>
    <row r="4">
      <c r="A4" s="8"/>
      <c r="B4" s="8"/>
      <c r="C4" s="9" t="str">
        <f t="shared" si="1"/>
        <v>diciembre</v>
      </c>
      <c r="D4" s="10" t="s">
        <v>12</v>
      </c>
      <c r="E4" s="4" t="s">
        <v>13</v>
      </c>
      <c r="F4" s="4" t="s">
        <v>10</v>
      </c>
      <c r="G4" s="4" t="s">
        <v>11</v>
      </c>
      <c r="I4" s="12">
        <v>0.08</v>
      </c>
      <c r="J4" s="11" t="str">
        <f t="shared" si="2"/>
        <v>En progreso</v>
      </c>
      <c r="K4" s="4" t="str">
        <f t="shared" si="3"/>
        <v>❌ Cancelado</v>
      </c>
    </row>
    <row r="5">
      <c r="A5" s="8"/>
      <c r="B5" s="8"/>
      <c r="C5" s="9" t="str">
        <f t="shared" si="1"/>
        <v>diciembre</v>
      </c>
      <c r="D5" s="10" t="s">
        <v>20</v>
      </c>
      <c r="E5" s="4"/>
      <c r="F5" s="4" t="s">
        <v>34</v>
      </c>
      <c r="G5" s="4" t="s">
        <v>19</v>
      </c>
      <c r="I5" s="12">
        <v>0.9</v>
      </c>
      <c r="J5" s="11" t="str">
        <f t="shared" si="2"/>
        <v>En progreso</v>
      </c>
      <c r="K5" s="4" t="str">
        <f t="shared" si="3"/>
        <v>❌ Cancelado</v>
      </c>
    </row>
    <row r="6">
      <c r="A6" s="13"/>
      <c r="B6" s="13"/>
      <c r="C6" s="9" t="str">
        <f t="shared" si="1"/>
        <v>diciembre</v>
      </c>
      <c r="D6" s="10" t="s">
        <v>8</v>
      </c>
      <c r="E6" s="4" t="s">
        <v>9</v>
      </c>
      <c r="F6" s="4" t="s">
        <v>31</v>
      </c>
      <c r="G6" s="11"/>
      <c r="I6" s="12">
        <v>1.0</v>
      </c>
      <c r="J6" s="11" t="str">
        <f t="shared" si="2"/>
        <v>Completado</v>
      </c>
      <c r="K6" s="4" t="str">
        <f t="shared" si="3"/>
        <v>❌ Cancelado</v>
      </c>
    </row>
    <row r="7">
      <c r="A7" s="8"/>
      <c r="B7" s="8"/>
      <c r="C7" s="9" t="str">
        <f t="shared" si="1"/>
        <v>diciembre</v>
      </c>
      <c r="D7" s="10" t="s">
        <v>16</v>
      </c>
      <c r="E7" s="11" t="s">
        <v>17</v>
      </c>
      <c r="F7" s="4" t="s">
        <v>21</v>
      </c>
      <c r="G7" s="4" t="s">
        <v>15</v>
      </c>
      <c r="I7" s="12">
        <v>0.7</v>
      </c>
      <c r="J7" s="11" t="str">
        <f t="shared" si="2"/>
        <v>En progreso</v>
      </c>
      <c r="K7" s="4" t="str">
        <f t="shared" si="3"/>
        <v>❌ Cancelado</v>
      </c>
    </row>
    <row r="8">
      <c r="A8" s="13"/>
      <c r="B8" s="13"/>
      <c r="C8" s="9" t="str">
        <f t="shared" si="1"/>
        <v>diciembre</v>
      </c>
      <c r="D8" s="10" t="s">
        <v>26</v>
      </c>
      <c r="E8" s="4" t="s">
        <v>27</v>
      </c>
      <c r="F8" s="11"/>
      <c r="G8" s="11"/>
      <c r="I8" s="12">
        <v>1.0</v>
      </c>
      <c r="J8" s="11" t="str">
        <f t="shared" si="2"/>
        <v>Completado</v>
      </c>
      <c r="K8" s="4" t="str">
        <f t="shared" si="3"/>
        <v>❌ Cancelado</v>
      </c>
    </row>
    <row r="9">
      <c r="A9" s="13"/>
      <c r="B9" s="13"/>
      <c r="C9" s="9" t="str">
        <f t="shared" si="1"/>
        <v>diciembre</v>
      </c>
      <c r="D9" s="10" t="s">
        <v>16</v>
      </c>
      <c r="E9" s="4" t="s">
        <v>17</v>
      </c>
      <c r="F9" s="11"/>
      <c r="G9" s="11"/>
      <c r="I9" s="12">
        <v>0.09</v>
      </c>
      <c r="J9" s="11" t="str">
        <f t="shared" ref="J9:J184" si="4">IF(I9=0,"Sin iniciar",IF(I9=1,"En progreso",IF(I9&lt;100,"En progreso","Completado")))
</f>
        <v>En progreso</v>
      </c>
      <c r="K9" s="4" t="str">
        <f t="shared" si="3"/>
        <v>❌ Cancelado</v>
      </c>
    </row>
    <row r="10">
      <c r="A10" s="13"/>
      <c r="B10" s="13"/>
      <c r="C10" s="9" t="str">
        <f t="shared" si="1"/>
        <v>diciembre</v>
      </c>
      <c r="D10" s="10" t="s">
        <v>12</v>
      </c>
      <c r="E10" s="4" t="s">
        <v>13</v>
      </c>
      <c r="F10" s="11"/>
      <c r="G10" s="11"/>
      <c r="I10" s="14"/>
      <c r="J10" s="11" t="str">
        <f t="shared" si="4"/>
        <v>Sin iniciar</v>
      </c>
      <c r="K10" s="4" t="str">
        <f t="shared" si="3"/>
        <v>❌ Cancelado</v>
      </c>
    </row>
    <row r="11">
      <c r="A11" s="13"/>
      <c r="B11" s="13"/>
      <c r="C11" s="9" t="str">
        <f t="shared" si="1"/>
        <v>diciembre</v>
      </c>
      <c r="D11" s="10" t="s">
        <v>23</v>
      </c>
      <c r="E11" s="4" t="s">
        <v>24</v>
      </c>
      <c r="F11" s="4" t="s">
        <v>21</v>
      </c>
      <c r="G11" s="11"/>
      <c r="I11" s="14"/>
      <c r="J11" s="11" t="str">
        <f t="shared" si="4"/>
        <v>Sin iniciar</v>
      </c>
      <c r="K11" s="4" t="str">
        <f t="shared" si="3"/>
        <v>❌ Cancelado</v>
      </c>
    </row>
    <row r="12">
      <c r="A12" s="13"/>
      <c r="B12" s="13"/>
      <c r="C12" s="9" t="str">
        <f t="shared" si="1"/>
        <v>diciembre</v>
      </c>
      <c r="D12" s="10" t="s">
        <v>8</v>
      </c>
      <c r="E12" s="4" t="s">
        <v>9</v>
      </c>
      <c r="F12" s="11"/>
      <c r="G12" s="11"/>
      <c r="I12" s="14"/>
      <c r="J12" s="11" t="str">
        <f t="shared" si="4"/>
        <v>Sin iniciar</v>
      </c>
      <c r="K12" s="4" t="str">
        <f t="shared" si="3"/>
        <v>❌ Cancelado</v>
      </c>
    </row>
    <row r="13">
      <c r="A13" s="13"/>
      <c r="B13" s="13"/>
      <c r="C13" s="9" t="str">
        <f t="shared" si="1"/>
        <v>diciembre</v>
      </c>
      <c r="D13" s="10" t="s">
        <v>8</v>
      </c>
      <c r="E13" s="4" t="s">
        <v>9</v>
      </c>
      <c r="F13" s="11"/>
      <c r="G13" s="11"/>
      <c r="I13" s="14"/>
      <c r="J13" s="11" t="str">
        <f t="shared" si="4"/>
        <v>Sin iniciar</v>
      </c>
      <c r="K13" s="4" t="str">
        <f t="shared" si="3"/>
        <v>❌ Cancelado</v>
      </c>
    </row>
    <row r="14">
      <c r="A14" s="13"/>
      <c r="B14" s="13"/>
      <c r="C14" s="9" t="str">
        <f t="shared" si="1"/>
        <v>diciembre</v>
      </c>
      <c r="D14" s="10" t="s">
        <v>23</v>
      </c>
      <c r="E14" s="4" t="s">
        <v>24</v>
      </c>
      <c r="F14" s="11"/>
      <c r="G14" s="11"/>
      <c r="J14" s="11" t="str">
        <f t="shared" si="4"/>
        <v>Sin iniciar</v>
      </c>
      <c r="K14" s="4" t="str">
        <f t="shared" si="3"/>
        <v>❌ Cancelado</v>
      </c>
    </row>
    <row r="15">
      <c r="A15" s="13"/>
      <c r="B15" s="13"/>
      <c r="C15" s="9" t="str">
        <f t="shared" si="1"/>
        <v>diciembre</v>
      </c>
      <c r="D15" s="10" t="s">
        <v>4</v>
      </c>
      <c r="E15" s="4" t="s">
        <v>5</v>
      </c>
      <c r="F15" s="11"/>
      <c r="G15" s="11"/>
      <c r="I15" s="14"/>
      <c r="J15" s="11" t="str">
        <f t="shared" si="4"/>
        <v>Sin iniciar</v>
      </c>
      <c r="K15" s="4" t="str">
        <f t="shared" si="3"/>
        <v>❌ Cancelado</v>
      </c>
    </row>
    <row r="16">
      <c r="A16" s="13"/>
      <c r="B16" s="13"/>
      <c r="C16" s="9" t="str">
        <f t="shared" si="1"/>
        <v>diciembre</v>
      </c>
      <c r="D16" s="10" t="s">
        <v>4</v>
      </c>
      <c r="E16" s="4" t="s">
        <v>5</v>
      </c>
      <c r="F16" s="11"/>
      <c r="G16" s="11"/>
      <c r="I16" s="14"/>
      <c r="J16" s="11" t="str">
        <f t="shared" si="4"/>
        <v>Sin iniciar</v>
      </c>
      <c r="K16" s="4" t="str">
        <f t="shared" si="3"/>
        <v>❌ Cancelado</v>
      </c>
    </row>
    <row r="17">
      <c r="A17" s="13"/>
      <c r="B17" s="13"/>
      <c r="C17" s="9" t="str">
        <f t="shared" si="1"/>
        <v>diciembre</v>
      </c>
      <c r="D17" s="10" t="s">
        <v>4</v>
      </c>
      <c r="E17" s="4" t="s">
        <v>5</v>
      </c>
      <c r="F17" s="11"/>
      <c r="G17" s="11"/>
      <c r="I17" s="14"/>
      <c r="J17" s="11" t="str">
        <f t="shared" si="4"/>
        <v>Sin iniciar</v>
      </c>
      <c r="K17" s="4" t="str">
        <f t="shared" si="3"/>
        <v>❌ Cancelado</v>
      </c>
    </row>
    <row r="18">
      <c r="A18" s="13"/>
      <c r="B18" s="13"/>
      <c r="C18" s="9" t="str">
        <f t="shared" si="1"/>
        <v>diciembre</v>
      </c>
      <c r="D18" s="10" t="s">
        <v>4</v>
      </c>
      <c r="E18" s="4" t="s">
        <v>5</v>
      </c>
      <c r="F18" s="11"/>
      <c r="G18" s="11"/>
      <c r="I18" s="14"/>
      <c r="J18" s="11" t="str">
        <f t="shared" si="4"/>
        <v>Sin iniciar</v>
      </c>
      <c r="K18" s="4" t="str">
        <f t="shared" si="3"/>
        <v>❌ Cancelado</v>
      </c>
    </row>
    <row r="19">
      <c r="A19" s="13"/>
      <c r="B19" s="13"/>
      <c r="C19" s="9" t="str">
        <f t="shared" si="1"/>
        <v>diciembre</v>
      </c>
      <c r="D19" s="10" t="s">
        <v>4</v>
      </c>
      <c r="E19" s="4" t="s">
        <v>5</v>
      </c>
      <c r="F19" s="11"/>
      <c r="G19" s="11"/>
      <c r="I19" s="14"/>
      <c r="J19" s="11" t="str">
        <f t="shared" si="4"/>
        <v>Sin iniciar</v>
      </c>
      <c r="K19" s="4" t="str">
        <f t="shared" si="3"/>
        <v>❌ Cancelado</v>
      </c>
    </row>
    <row r="20">
      <c r="A20" s="13"/>
      <c r="B20" s="13"/>
      <c r="C20" s="9" t="str">
        <f t="shared" si="1"/>
        <v>diciembre</v>
      </c>
      <c r="D20" s="10" t="s">
        <v>4</v>
      </c>
      <c r="E20" s="4" t="s">
        <v>5</v>
      </c>
      <c r="F20" s="11"/>
      <c r="G20" s="11"/>
      <c r="I20" s="14"/>
      <c r="J20" s="11" t="str">
        <f t="shared" si="4"/>
        <v>Sin iniciar</v>
      </c>
      <c r="K20" s="4" t="str">
        <f t="shared" si="3"/>
        <v>❌ Cancelado</v>
      </c>
    </row>
    <row r="21">
      <c r="A21" s="13"/>
      <c r="B21" s="13"/>
      <c r="C21" s="9" t="str">
        <f t="shared" si="1"/>
        <v>diciembre</v>
      </c>
      <c r="D21" s="10" t="s">
        <v>4</v>
      </c>
      <c r="E21" s="4" t="s">
        <v>5</v>
      </c>
      <c r="F21" s="11"/>
      <c r="G21" s="11"/>
      <c r="I21" s="14"/>
      <c r="J21" s="11" t="str">
        <f t="shared" si="4"/>
        <v>Sin iniciar</v>
      </c>
      <c r="K21" s="4" t="str">
        <f t="shared" si="3"/>
        <v>❌ Cancelado</v>
      </c>
    </row>
    <row r="22">
      <c r="A22" s="13"/>
      <c r="B22" s="13"/>
      <c r="C22" s="9" t="str">
        <f t="shared" si="1"/>
        <v>diciembre</v>
      </c>
      <c r="D22" s="10" t="s">
        <v>4</v>
      </c>
      <c r="E22" s="4" t="s">
        <v>5</v>
      </c>
      <c r="F22" s="11"/>
      <c r="G22" s="11"/>
      <c r="I22" s="14"/>
      <c r="J22" s="11" t="str">
        <f t="shared" si="4"/>
        <v>Sin iniciar</v>
      </c>
      <c r="K22" s="4" t="str">
        <f t="shared" si="3"/>
        <v>❌ Cancelado</v>
      </c>
    </row>
    <row r="23">
      <c r="A23" s="13"/>
      <c r="B23" s="13"/>
      <c r="C23" s="9" t="str">
        <f t="shared" si="1"/>
        <v>diciembre</v>
      </c>
      <c r="D23" s="10" t="s">
        <v>4</v>
      </c>
      <c r="E23" s="4" t="s">
        <v>5</v>
      </c>
      <c r="F23" s="11"/>
      <c r="G23" s="11"/>
      <c r="I23" s="14"/>
      <c r="J23" s="11" t="str">
        <f t="shared" si="4"/>
        <v>Sin iniciar</v>
      </c>
      <c r="K23" s="4" t="str">
        <f t="shared" si="3"/>
        <v>❌ Cancelado</v>
      </c>
    </row>
    <row r="24">
      <c r="A24" s="13"/>
      <c r="B24" s="13"/>
      <c r="C24" s="9" t="str">
        <f t="shared" si="1"/>
        <v>diciembre</v>
      </c>
      <c r="D24" s="10" t="s">
        <v>4</v>
      </c>
      <c r="E24" s="4" t="s">
        <v>5</v>
      </c>
      <c r="F24" s="11"/>
      <c r="G24" s="11"/>
      <c r="I24" s="14"/>
      <c r="J24" s="11" t="str">
        <f t="shared" si="4"/>
        <v>Sin iniciar</v>
      </c>
      <c r="K24" s="4" t="str">
        <f t="shared" si="3"/>
        <v>❌ Cancelado</v>
      </c>
    </row>
    <row r="25">
      <c r="A25" s="13"/>
      <c r="B25" s="13"/>
      <c r="C25" s="9" t="str">
        <f t="shared" si="1"/>
        <v>diciembre</v>
      </c>
      <c r="D25" s="10" t="s">
        <v>4</v>
      </c>
      <c r="E25" s="4" t="s">
        <v>5</v>
      </c>
      <c r="F25" s="11"/>
      <c r="G25" s="11"/>
      <c r="I25" s="14"/>
      <c r="J25" s="11" t="str">
        <f t="shared" si="4"/>
        <v>Sin iniciar</v>
      </c>
      <c r="K25" s="4" t="str">
        <f t="shared" si="3"/>
        <v>❌ Cancelado</v>
      </c>
    </row>
    <row r="26">
      <c r="A26" s="13"/>
      <c r="B26" s="13"/>
      <c r="C26" s="9" t="str">
        <f t="shared" si="1"/>
        <v>diciembre</v>
      </c>
      <c r="D26" s="10" t="s">
        <v>4</v>
      </c>
      <c r="E26" s="4" t="s">
        <v>5</v>
      </c>
      <c r="F26" s="11"/>
      <c r="G26" s="11"/>
      <c r="I26" s="14"/>
      <c r="J26" s="11" t="str">
        <f t="shared" si="4"/>
        <v>Sin iniciar</v>
      </c>
      <c r="K26" s="4" t="str">
        <f t="shared" si="3"/>
        <v>❌ Cancelado</v>
      </c>
    </row>
    <row r="27">
      <c r="A27" s="13"/>
      <c r="B27" s="13"/>
      <c r="C27" s="9" t="str">
        <f t="shared" si="1"/>
        <v>diciembre</v>
      </c>
      <c r="D27" s="10" t="s">
        <v>4</v>
      </c>
      <c r="E27" s="4" t="s">
        <v>5</v>
      </c>
      <c r="F27" s="11"/>
      <c r="G27" s="11"/>
      <c r="I27" s="14"/>
      <c r="J27" s="11" t="str">
        <f t="shared" si="4"/>
        <v>Sin iniciar</v>
      </c>
      <c r="K27" s="4" t="str">
        <f t="shared" si="3"/>
        <v>❌ Cancelado</v>
      </c>
    </row>
    <row r="28">
      <c r="A28" s="13"/>
      <c r="B28" s="13"/>
      <c r="C28" s="9" t="str">
        <f t="shared" si="1"/>
        <v>diciembre</v>
      </c>
      <c r="D28" s="10" t="s">
        <v>4</v>
      </c>
      <c r="E28" s="4" t="s">
        <v>5</v>
      </c>
      <c r="F28" s="11"/>
      <c r="G28" s="11"/>
      <c r="I28" s="14"/>
      <c r="J28" s="11" t="str">
        <f t="shared" si="4"/>
        <v>Sin iniciar</v>
      </c>
      <c r="K28" s="4" t="str">
        <f t="shared" si="3"/>
        <v>❌ Cancelado</v>
      </c>
    </row>
    <row r="29">
      <c r="A29" s="13"/>
      <c r="B29" s="13"/>
      <c r="C29" s="9" t="str">
        <f t="shared" si="1"/>
        <v>diciembre</v>
      </c>
      <c r="D29" s="10" t="s">
        <v>4</v>
      </c>
      <c r="E29" s="4" t="s">
        <v>5</v>
      </c>
      <c r="F29" s="11"/>
      <c r="G29" s="11"/>
      <c r="I29" s="14"/>
      <c r="J29" s="11" t="str">
        <f t="shared" si="4"/>
        <v>Sin iniciar</v>
      </c>
      <c r="K29" s="4" t="str">
        <f t="shared" si="3"/>
        <v>❌ Cancelado</v>
      </c>
    </row>
    <row r="30">
      <c r="A30" s="13"/>
      <c r="B30" s="13"/>
      <c r="C30" s="9" t="str">
        <f t="shared" si="1"/>
        <v>diciembre</v>
      </c>
      <c r="D30" s="10" t="s">
        <v>4</v>
      </c>
      <c r="E30" s="4" t="s">
        <v>5</v>
      </c>
      <c r="F30" s="11"/>
      <c r="G30" s="11"/>
      <c r="I30" s="14"/>
      <c r="J30" s="11" t="str">
        <f t="shared" si="4"/>
        <v>Sin iniciar</v>
      </c>
      <c r="K30" s="4" t="str">
        <f t="shared" si="3"/>
        <v>❌ Cancelado</v>
      </c>
    </row>
    <row r="31">
      <c r="A31" s="13"/>
      <c r="B31" s="13"/>
      <c r="C31" s="9" t="str">
        <f t="shared" si="1"/>
        <v>diciembre</v>
      </c>
      <c r="D31" s="10" t="s">
        <v>4</v>
      </c>
      <c r="E31" s="4" t="s">
        <v>5</v>
      </c>
      <c r="F31" s="11"/>
      <c r="G31" s="11"/>
      <c r="I31" s="14"/>
      <c r="J31" s="11" t="str">
        <f t="shared" si="4"/>
        <v>Sin iniciar</v>
      </c>
      <c r="K31" s="4" t="str">
        <f t="shared" si="3"/>
        <v>❌ Cancelado</v>
      </c>
    </row>
    <row r="32">
      <c r="A32" s="13"/>
      <c r="B32" s="13"/>
      <c r="C32" s="9" t="str">
        <f t="shared" si="1"/>
        <v>diciembre</v>
      </c>
      <c r="D32" s="10" t="s">
        <v>4</v>
      </c>
      <c r="E32" s="4" t="s">
        <v>5</v>
      </c>
      <c r="F32" s="11"/>
      <c r="G32" s="11"/>
      <c r="I32" s="14"/>
      <c r="J32" s="11" t="str">
        <f t="shared" si="4"/>
        <v>Sin iniciar</v>
      </c>
      <c r="K32" s="4" t="str">
        <f t="shared" si="3"/>
        <v>❌ Cancelado</v>
      </c>
    </row>
    <row r="33">
      <c r="A33" s="13"/>
      <c r="B33" s="13"/>
      <c r="C33" s="9" t="str">
        <f t="shared" si="1"/>
        <v>diciembre</v>
      </c>
      <c r="D33" s="10" t="s">
        <v>4</v>
      </c>
      <c r="E33" s="4" t="s">
        <v>5</v>
      </c>
      <c r="F33" s="11"/>
      <c r="G33" s="11"/>
      <c r="I33" s="14"/>
      <c r="J33" s="11" t="str">
        <f t="shared" si="4"/>
        <v>Sin iniciar</v>
      </c>
      <c r="K33" s="4" t="str">
        <f t="shared" si="3"/>
        <v>❌ Cancelado</v>
      </c>
    </row>
    <row r="34">
      <c r="A34" s="13"/>
      <c r="B34" s="13"/>
      <c r="C34" s="9" t="str">
        <f t="shared" si="1"/>
        <v>diciembre</v>
      </c>
      <c r="D34" s="10" t="s">
        <v>4</v>
      </c>
      <c r="E34" s="4" t="s">
        <v>5</v>
      </c>
      <c r="F34" s="11"/>
      <c r="G34" s="11"/>
      <c r="I34" s="14"/>
      <c r="J34" s="11" t="str">
        <f t="shared" si="4"/>
        <v>Sin iniciar</v>
      </c>
      <c r="K34" s="4" t="str">
        <f t="shared" si="3"/>
        <v>❌ Cancelado</v>
      </c>
    </row>
    <row r="35">
      <c r="A35" s="13"/>
      <c r="B35" s="13"/>
      <c r="C35" s="9" t="str">
        <f t="shared" si="1"/>
        <v>diciembre</v>
      </c>
      <c r="D35" s="10" t="s">
        <v>4</v>
      </c>
      <c r="E35" s="4" t="s">
        <v>5</v>
      </c>
      <c r="F35" s="11"/>
      <c r="G35" s="11"/>
      <c r="I35" s="14"/>
      <c r="J35" s="11" t="str">
        <f t="shared" si="4"/>
        <v>Sin iniciar</v>
      </c>
      <c r="K35" s="4" t="str">
        <f t="shared" si="3"/>
        <v>❌ Cancelado</v>
      </c>
    </row>
    <row r="36">
      <c r="A36" s="13"/>
      <c r="B36" s="13"/>
      <c r="C36" s="9" t="str">
        <f t="shared" si="1"/>
        <v>diciembre</v>
      </c>
      <c r="D36" s="10" t="s">
        <v>4</v>
      </c>
      <c r="E36" s="4" t="s">
        <v>5</v>
      </c>
      <c r="F36" s="11"/>
      <c r="G36" s="11"/>
      <c r="I36" s="14"/>
      <c r="J36" s="11" t="str">
        <f t="shared" si="4"/>
        <v>Sin iniciar</v>
      </c>
      <c r="K36" s="4" t="str">
        <f t="shared" si="3"/>
        <v>❌ Cancelado</v>
      </c>
    </row>
    <row r="37">
      <c r="A37" s="13"/>
      <c r="B37" s="13"/>
      <c r="C37" s="9" t="str">
        <f t="shared" si="1"/>
        <v>diciembre</v>
      </c>
      <c r="D37" s="10" t="s">
        <v>4</v>
      </c>
      <c r="E37" s="4" t="s">
        <v>5</v>
      </c>
      <c r="F37" s="11"/>
      <c r="G37" s="11"/>
      <c r="I37" s="14"/>
      <c r="J37" s="11" t="str">
        <f t="shared" si="4"/>
        <v>Sin iniciar</v>
      </c>
      <c r="K37" s="4" t="str">
        <f t="shared" si="3"/>
        <v>❌ Cancelado</v>
      </c>
    </row>
    <row r="38">
      <c r="A38" s="13"/>
      <c r="B38" s="13"/>
      <c r="C38" s="9" t="str">
        <f t="shared" si="1"/>
        <v>diciembre</v>
      </c>
      <c r="D38" s="10" t="s">
        <v>4</v>
      </c>
      <c r="E38" s="4" t="s">
        <v>5</v>
      </c>
      <c r="F38" s="11"/>
      <c r="G38" s="11"/>
      <c r="I38" s="14"/>
      <c r="J38" s="11" t="str">
        <f t="shared" si="4"/>
        <v>Sin iniciar</v>
      </c>
      <c r="K38" s="4" t="str">
        <f t="shared" si="3"/>
        <v>❌ Cancelado</v>
      </c>
    </row>
    <row r="39">
      <c r="A39" s="13"/>
      <c r="B39" s="13"/>
      <c r="C39" s="9" t="str">
        <f t="shared" si="1"/>
        <v>diciembre</v>
      </c>
      <c r="D39" s="10" t="s">
        <v>4</v>
      </c>
      <c r="E39" s="4" t="s">
        <v>5</v>
      </c>
      <c r="F39" s="11"/>
      <c r="G39" s="11"/>
      <c r="I39" s="14"/>
      <c r="J39" s="11" t="str">
        <f t="shared" si="4"/>
        <v>Sin iniciar</v>
      </c>
      <c r="K39" s="4" t="str">
        <f t="shared" si="3"/>
        <v>❌ Cancelado</v>
      </c>
    </row>
    <row r="40">
      <c r="A40" s="13"/>
      <c r="B40" s="13"/>
      <c r="C40" s="9" t="str">
        <f t="shared" si="1"/>
        <v>diciembre</v>
      </c>
      <c r="D40" s="10" t="s">
        <v>4</v>
      </c>
      <c r="E40" s="4" t="s">
        <v>5</v>
      </c>
      <c r="F40" s="11"/>
      <c r="G40" s="11"/>
      <c r="I40" s="14"/>
      <c r="J40" s="11" t="str">
        <f t="shared" si="4"/>
        <v>Sin iniciar</v>
      </c>
      <c r="K40" s="4" t="str">
        <f t="shared" si="3"/>
        <v>❌ Cancelado</v>
      </c>
    </row>
    <row r="41">
      <c r="A41" s="13"/>
      <c r="B41" s="13"/>
      <c r="C41" s="9" t="str">
        <f t="shared" si="1"/>
        <v>diciembre</v>
      </c>
      <c r="D41" s="10" t="s">
        <v>4</v>
      </c>
      <c r="E41" s="4" t="s">
        <v>5</v>
      </c>
      <c r="F41" s="11"/>
      <c r="G41" s="11"/>
      <c r="I41" s="14"/>
      <c r="J41" s="11" t="str">
        <f t="shared" si="4"/>
        <v>Sin iniciar</v>
      </c>
      <c r="K41" s="4" t="str">
        <f t="shared" si="3"/>
        <v>❌ Cancelado</v>
      </c>
    </row>
    <row r="42">
      <c r="A42" s="13"/>
      <c r="B42" s="13"/>
      <c r="C42" s="9" t="str">
        <f t="shared" si="1"/>
        <v>diciembre</v>
      </c>
      <c r="D42" s="10" t="s">
        <v>4</v>
      </c>
      <c r="E42" s="4" t="s">
        <v>5</v>
      </c>
      <c r="F42" s="11"/>
      <c r="G42" s="11"/>
      <c r="I42" s="14"/>
      <c r="J42" s="11" t="str">
        <f t="shared" si="4"/>
        <v>Sin iniciar</v>
      </c>
      <c r="K42" s="4" t="str">
        <f t="shared" si="3"/>
        <v>❌ Cancelado</v>
      </c>
    </row>
    <row r="43">
      <c r="A43" s="13"/>
      <c r="B43" s="13"/>
      <c r="C43" s="9" t="str">
        <f t="shared" si="1"/>
        <v>diciembre</v>
      </c>
      <c r="D43" s="10" t="s">
        <v>4</v>
      </c>
      <c r="E43" s="4" t="s">
        <v>5</v>
      </c>
      <c r="F43" s="11"/>
      <c r="G43" s="11"/>
      <c r="I43" s="14"/>
      <c r="J43" s="11" t="str">
        <f t="shared" si="4"/>
        <v>Sin iniciar</v>
      </c>
      <c r="K43" s="4" t="str">
        <f t="shared" si="3"/>
        <v>❌ Cancelado</v>
      </c>
    </row>
    <row r="44">
      <c r="A44" s="13"/>
      <c r="B44" s="13"/>
      <c r="C44" s="9" t="str">
        <f t="shared" si="1"/>
        <v>diciembre</v>
      </c>
      <c r="D44" s="10" t="s">
        <v>4</v>
      </c>
      <c r="E44" s="4" t="s">
        <v>5</v>
      </c>
      <c r="F44" s="11"/>
      <c r="G44" s="11"/>
      <c r="I44" s="14"/>
      <c r="J44" s="11" t="str">
        <f t="shared" si="4"/>
        <v>Sin iniciar</v>
      </c>
      <c r="K44" s="4" t="str">
        <f t="shared" si="3"/>
        <v>❌ Cancelado</v>
      </c>
    </row>
    <row r="45">
      <c r="A45" s="13"/>
      <c r="B45" s="13"/>
      <c r="C45" s="9" t="str">
        <f t="shared" si="1"/>
        <v>diciembre</v>
      </c>
      <c r="D45" s="10" t="s">
        <v>4</v>
      </c>
      <c r="E45" s="4" t="s">
        <v>5</v>
      </c>
      <c r="F45" s="11"/>
      <c r="G45" s="11"/>
      <c r="I45" s="14"/>
      <c r="J45" s="11" t="str">
        <f t="shared" si="4"/>
        <v>Sin iniciar</v>
      </c>
      <c r="K45" s="4" t="str">
        <f t="shared" si="3"/>
        <v>❌ Cancelado</v>
      </c>
    </row>
    <row r="46">
      <c r="A46" s="13"/>
      <c r="B46" s="13"/>
      <c r="C46" s="9" t="str">
        <f t="shared" si="1"/>
        <v>diciembre</v>
      </c>
      <c r="D46" s="10" t="s">
        <v>4</v>
      </c>
      <c r="E46" s="4" t="s">
        <v>5</v>
      </c>
      <c r="F46" s="11"/>
      <c r="G46" s="11"/>
      <c r="I46" s="14"/>
      <c r="J46" s="11" t="str">
        <f t="shared" si="4"/>
        <v>Sin iniciar</v>
      </c>
      <c r="K46" s="4" t="str">
        <f t="shared" si="3"/>
        <v>❌ Cancelado</v>
      </c>
    </row>
    <row r="47">
      <c r="A47" s="13"/>
      <c r="B47" s="13"/>
      <c r="C47" s="9" t="str">
        <f t="shared" si="1"/>
        <v>diciembre</v>
      </c>
      <c r="D47" s="10" t="s">
        <v>4</v>
      </c>
      <c r="E47" s="4" t="s">
        <v>5</v>
      </c>
      <c r="F47" s="11"/>
      <c r="G47" s="11"/>
      <c r="I47" s="14"/>
      <c r="J47" s="11" t="str">
        <f t="shared" si="4"/>
        <v>Sin iniciar</v>
      </c>
      <c r="K47" s="4" t="str">
        <f t="shared" si="3"/>
        <v>❌ Cancelado</v>
      </c>
    </row>
    <row r="48">
      <c r="A48" s="13"/>
      <c r="B48" s="13"/>
      <c r="C48" s="9" t="str">
        <f t="shared" si="1"/>
        <v>diciembre</v>
      </c>
      <c r="D48" s="10" t="s">
        <v>4</v>
      </c>
      <c r="E48" s="4" t="s">
        <v>5</v>
      </c>
      <c r="F48" s="11"/>
      <c r="G48" s="11"/>
      <c r="I48" s="14"/>
      <c r="J48" s="11" t="str">
        <f t="shared" si="4"/>
        <v>Sin iniciar</v>
      </c>
      <c r="K48" s="4" t="str">
        <f t="shared" si="3"/>
        <v>❌ Cancelado</v>
      </c>
    </row>
    <row r="49">
      <c r="A49" s="13"/>
      <c r="B49" s="13"/>
      <c r="C49" s="9" t="str">
        <f t="shared" si="1"/>
        <v>diciembre</v>
      </c>
      <c r="D49" s="10" t="s">
        <v>4</v>
      </c>
      <c r="E49" s="4" t="s">
        <v>5</v>
      </c>
      <c r="F49" s="11"/>
      <c r="G49" s="11"/>
      <c r="I49" s="14"/>
      <c r="J49" s="11" t="str">
        <f t="shared" si="4"/>
        <v>Sin iniciar</v>
      </c>
      <c r="K49" s="4" t="str">
        <f t="shared" si="3"/>
        <v>❌ Cancelado</v>
      </c>
    </row>
    <row r="50">
      <c r="A50" s="13"/>
      <c r="B50" s="13"/>
      <c r="C50" s="9" t="str">
        <f t="shared" si="1"/>
        <v>diciembre</v>
      </c>
      <c r="D50" s="10" t="s">
        <v>4</v>
      </c>
      <c r="E50" s="4" t="s">
        <v>5</v>
      </c>
      <c r="F50" s="11"/>
      <c r="G50" s="11"/>
      <c r="I50" s="14"/>
      <c r="J50" s="11" t="str">
        <f t="shared" si="4"/>
        <v>Sin iniciar</v>
      </c>
      <c r="K50" s="4" t="str">
        <f t="shared" si="3"/>
        <v>❌ Cancelado</v>
      </c>
    </row>
    <row r="51">
      <c r="A51" s="13"/>
      <c r="B51" s="13"/>
      <c r="C51" s="9" t="str">
        <f t="shared" si="1"/>
        <v>diciembre</v>
      </c>
      <c r="D51" s="10" t="s">
        <v>4</v>
      </c>
      <c r="E51" s="4" t="s">
        <v>5</v>
      </c>
      <c r="F51" s="11"/>
      <c r="G51" s="11"/>
      <c r="I51" s="14"/>
      <c r="J51" s="11" t="str">
        <f t="shared" si="4"/>
        <v>Sin iniciar</v>
      </c>
      <c r="K51" s="4" t="str">
        <f t="shared" si="3"/>
        <v>❌ Cancelado</v>
      </c>
    </row>
    <row r="52">
      <c r="A52" s="13"/>
      <c r="B52" s="13"/>
      <c r="C52" s="9" t="str">
        <f t="shared" si="1"/>
        <v>diciembre</v>
      </c>
      <c r="D52" s="10" t="s">
        <v>4</v>
      </c>
      <c r="E52" s="4" t="s">
        <v>5</v>
      </c>
      <c r="F52" s="11"/>
      <c r="G52" s="11"/>
      <c r="I52" s="14"/>
      <c r="J52" s="11" t="str">
        <f t="shared" si="4"/>
        <v>Sin iniciar</v>
      </c>
      <c r="K52" s="4" t="str">
        <f t="shared" si="3"/>
        <v>❌ Cancelado</v>
      </c>
    </row>
    <row r="53">
      <c r="A53" s="13"/>
      <c r="B53" s="13"/>
      <c r="C53" s="9" t="str">
        <f t="shared" si="1"/>
        <v>diciembre</v>
      </c>
      <c r="D53" s="10" t="s">
        <v>4</v>
      </c>
      <c r="E53" s="4" t="s">
        <v>5</v>
      </c>
      <c r="F53" s="11"/>
      <c r="G53" s="11"/>
      <c r="I53" s="14"/>
      <c r="J53" s="11" t="str">
        <f t="shared" si="4"/>
        <v>Sin iniciar</v>
      </c>
      <c r="K53" s="4" t="str">
        <f t="shared" si="3"/>
        <v>❌ Cancelado</v>
      </c>
    </row>
    <row r="54">
      <c r="A54" s="13"/>
      <c r="B54" s="13"/>
      <c r="C54" s="9" t="str">
        <f t="shared" si="1"/>
        <v>diciembre</v>
      </c>
      <c r="D54" s="10" t="s">
        <v>4</v>
      </c>
      <c r="E54" s="4" t="s">
        <v>5</v>
      </c>
      <c r="F54" s="11"/>
      <c r="G54" s="11"/>
      <c r="I54" s="14"/>
      <c r="J54" s="11" t="str">
        <f t="shared" si="4"/>
        <v>Sin iniciar</v>
      </c>
      <c r="K54" s="4" t="str">
        <f t="shared" si="3"/>
        <v>❌ Cancelado</v>
      </c>
    </row>
    <row r="55">
      <c r="A55" s="13"/>
      <c r="B55" s="13"/>
      <c r="C55" s="9" t="str">
        <f t="shared" si="1"/>
        <v>diciembre</v>
      </c>
      <c r="D55" s="10" t="s">
        <v>4</v>
      </c>
      <c r="E55" s="4" t="s">
        <v>5</v>
      </c>
      <c r="F55" s="11"/>
      <c r="G55" s="11"/>
      <c r="I55" s="14"/>
      <c r="J55" s="11" t="str">
        <f t="shared" si="4"/>
        <v>Sin iniciar</v>
      </c>
      <c r="K55" s="4" t="str">
        <f t="shared" si="3"/>
        <v>❌ Cancelado</v>
      </c>
    </row>
    <row r="56">
      <c r="A56" s="13"/>
      <c r="B56" s="13"/>
      <c r="C56" s="9" t="str">
        <f t="shared" si="1"/>
        <v>diciembre</v>
      </c>
      <c r="D56" s="10" t="s">
        <v>4</v>
      </c>
      <c r="E56" s="4" t="s">
        <v>5</v>
      </c>
      <c r="F56" s="11"/>
      <c r="G56" s="11"/>
      <c r="I56" s="14"/>
      <c r="J56" s="11" t="str">
        <f t="shared" si="4"/>
        <v>Sin iniciar</v>
      </c>
      <c r="K56" s="4" t="str">
        <f t="shared" si="3"/>
        <v>❌ Cancelado</v>
      </c>
    </row>
    <row r="57">
      <c r="A57" s="13"/>
      <c r="B57" s="13"/>
      <c r="C57" s="9" t="str">
        <f t="shared" si="1"/>
        <v>diciembre</v>
      </c>
      <c r="D57" s="10" t="s">
        <v>4</v>
      </c>
      <c r="E57" s="4" t="s">
        <v>5</v>
      </c>
      <c r="F57" s="11"/>
      <c r="G57" s="11"/>
      <c r="I57" s="14"/>
      <c r="J57" s="11" t="str">
        <f t="shared" si="4"/>
        <v>Sin iniciar</v>
      </c>
      <c r="K57" s="4" t="str">
        <f t="shared" si="3"/>
        <v>❌ Cancelado</v>
      </c>
    </row>
    <row r="58">
      <c r="A58" s="13"/>
      <c r="B58" s="13"/>
      <c r="C58" s="9" t="str">
        <f t="shared" si="1"/>
        <v>diciembre</v>
      </c>
      <c r="D58" s="10" t="s">
        <v>4</v>
      </c>
      <c r="E58" s="4" t="s">
        <v>5</v>
      </c>
      <c r="F58" s="11"/>
      <c r="G58" s="11"/>
      <c r="I58" s="14"/>
      <c r="J58" s="11" t="str">
        <f t="shared" si="4"/>
        <v>Sin iniciar</v>
      </c>
      <c r="K58" s="4" t="str">
        <f t="shared" si="3"/>
        <v>❌ Cancelado</v>
      </c>
    </row>
    <row r="59">
      <c r="A59" s="13"/>
      <c r="B59" s="13"/>
      <c r="C59" s="9" t="str">
        <f t="shared" si="1"/>
        <v>diciembre</v>
      </c>
      <c r="D59" s="10" t="s">
        <v>4</v>
      </c>
      <c r="E59" s="4" t="s">
        <v>5</v>
      </c>
      <c r="F59" s="11"/>
      <c r="G59" s="11"/>
      <c r="I59" s="14"/>
      <c r="J59" s="11" t="str">
        <f t="shared" si="4"/>
        <v>Sin iniciar</v>
      </c>
      <c r="K59" s="4" t="str">
        <f t="shared" si="3"/>
        <v>❌ Cancelado</v>
      </c>
    </row>
    <row r="60">
      <c r="A60" s="13"/>
      <c r="B60" s="13"/>
      <c r="C60" s="9" t="str">
        <f t="shared" si="1"/>
        <v>diciembre</v>
      </c>
      <c r="D60" s="10" t="s">
        <v>4</v>
      </c>
      <c r="E60" s="4" t="s">
        <v>5</v>
      </c>
      <c r="F60" s="11"/>
      <c r="G60" s="11"/>
      <c r="I60" s="14"/>
      <c r="J60" s="11" t="str">
        <f t="shared" si="4"/>
        <v>Sin iniciar</v>
      </c>
      <c r="K60" s="4" t="str">
        <f t="shared" si="3"/>
        <v>❌ Cancelado</v>
      </c>
    </row>
    <row r="61">
      <c r="A61" s="13"/>
      <c r="B61" s="13"/>
      <c r="C61" s="9" t="str">
        <f t="shared" si="1"/>
        <v>diciembre</v>
      </c>
      <c r="D61" s="10" t="s">
        <v>4</v>
      </c>
      <c r="E61" s="4" t="s">
        <v>5</v>
      </c>
      <c r="F61" s="11"/>
      <c r="G61" s="11"/>
      <c r="I61" s="14"/>
      <c r="J61" s="11" t="str">
        <f t="shared" si="4"/>
        <v>Sin iniciar</v>
      </c>
      <c r="K61" s="4" t="str">
        <f t="shared" si="3"/>
        <v>❌ Cancelado</v>
      </c>
    </row>
    <row r="62">
      <c r="A62" s="13"/>
      <c r="B62" s="13"/>
      <c r="C62" s="9" t="str">
        <f t="shared" si="1"/>
        <v>diciembre</v>
      </c>
      <c r="D62" s="10" t="s">
        <v>4</v>
      </c>
      <c r="E62" s="4" t="s">
        <v>5</v>
      </c>
      <c r="F62" s="11"/>
      <c r="G62" s="11"/>
      <c r="I62" s="14"/>
      <c r="J62" s="11" t="str">
        <f t="shared" si="4"/>
        <v>Sin iniciar</v>
      </c>
      <c r="K62" s="4" t="str">
        <f t="shared" si="3"/>
        <v>❌ Cancelado</v>
      </c>
    </row>
    <row r="63">
      <c r="A63" s="13"/>
      <c r="B63" s="13"/>
      <c r="C63" s="9" t="str">
        <f t="shared" si="1"/>
        <v>diciembre</v>
      </c>
      <c r="D63" s="10" t="s">
        <v>4</v>
      </c>
      <c r="E63" s="4" t="s">
        <v>5</v>
      </c>
      <c r="F63" s="11"/>
      <c r="G63" s="11"/>
      <c r="I63" s="14"/>
      <c r="J63" s="11" t="str">
        <f t="shared" si="4"/>
        <v>Sin iniciar</v>
      </c>
      <c r="K63" s="4" t="str">
        <f t="shared" si="3"/>
        <v>❌ Cancelado</v>
      </c>
    </row>
    <row r="64">
      <c r="A64" s="13"/>
      <c r="B64" s="13"/>
      <c r="C64" s="9" t="str">
        <f t="shared" si="1"/>
        <v>diciembre</v>
      </c>
      <c r="D64" s="10" t="s">
        <v>4</v>
      </c>
      <c r="E64" s="4" t="s">
        <v>5</v>
      </c>
      <c r="F64" s="11"/>
      <c r="G64" s="11"/>
      <c r="I64" s="14"/>
      <c r="J64" s="11" t="str">
        <f t="shared" si="4"/>
        <v>Sin iniciar</v>
      </c>
      <c r="K64" s="4" t="str">
        <f t="shared" si="3"/>
        <v>❌ Cancelado</v>
      </c>
    </row>
    <row r="65">
      <c r="A65" s="13"/>
      <c r="B65" s="13"/>
      <c r="C65" s="9" t="str">
        <f t="shared" si="1"/>
        <v>diciembre</v>
      </c>
      <c r="D65" s="10" t="s">
        <v>4</v>
      </c>
      <c r="E65" s="4" t="s">
        <v>5</v>
      </c>
      <c r="F65" s="11"/>
      <c r="G65" s="11"/>
      <c r="I65" s="14"/>
      <c r="J65" s="11" t="str">
        <f t="shared" si="4"/>
        <v>Sin iniciar</v>
      </c>
      <c r="K65" s="4" t="str">
        <f t="shared" si="3"/>
        <v>❌ Cancelado</v>
      </c>
    </row>
    <row r="66">
      <c r="A66" s="13"/>
      <c r="B66" s="13"/>
      <c r="C66" s="9" t="str">
        <f t="shared" si="1"/>
        <v>diciembre</v>
      </c>
      <c r="D66" s="10" t="s">
        <v>4</v>
      </c>
      <c r="E66" s="4" t="s">
        <v>5</v>
      </c>
      <c r="F66" s="11"/>
      <c r="G66" s="11"/>
      <c r="I66" s="14"/>
      <c r="J66" s="11" t="str">
        <f t="shared" si="4"/>
        <v>Sin iniciar</v>
      </c>
      <c r="K66" s="4" t="str">
        <f t="shared" si="3"/>
        <v>❌ Cancelado</v>
      </c>
    </row>
    <row r="67">
      <c r="A67" s="13"/>
      <c r="B67" s="13"/>
      <c r="C67" s="9" t="str">
        <f t="shared" si="1"/>
        <v>diciembre</v>
      </c>
      <c r="D67" s="10" t="s">
        <v>4</v>
      </c>
      <c r="E67" s="4" t="s">
        <v>5</v>
      </c>
      <c r="F67" s="11"/>
      <c r="G67" s="11"/>
      <c r="I67" s="14"/>
      <c r="J67" s="11" t="str">
        <f t="shared" si="4"/>
        <v>Sin iniciar</v>
      </c>
      <c r="K67" s="4" t="str">
        <f t="shared" si="3"/>
        <v>❌ Cancelado</v>
      </c>
    </row>
    <row r="68">
      <c r="A68" s="13"/>
      <c r="B68" s="13"/>
      <c r="C68" s="9" t="str">
        <f t="shared" si="1"/>
        <v>diciembre</v>
      </c>
      <c r="D68" s="10" t="s">
        <v>4</v>
      </c>
      <c r="E68" s="4" t="s">
        <v>5</v>
      </c>
      <c r="F68" s="11"/>
      <c r="G68" s="11"/>
      <c r="I68" s="14"/>
      <c r="J68" s="11" t="str">
        <f t="shared" si="4"/>
        <v>Sin iniciar</v>
      </c>
      <c r="K68" s="4" t="str">
        <f t="shared" si="3"/>
        <v>❌ Cancelado</v>
      </c>
    </row>
    <row r="69">
      <c r="A69" s="13"/>
      <c r="B69" s="13"/>
      <c r="C69" s="9" t="str">
        <f t="shared" si="1"/>
        <v>diciembre</v>
      </c>
      <c r="D69" s="10" t="s">
        <v>4</v>
      </c>
      <c r="E69" s="4" t="s">
        <v>5</v>
      </c>
      <c r="F69" s="11"/>
      <c r="G69" s="11"/>
      <c r="I69" s="14"/>
      <c r="J69" s="11" t="str">
        <f t="shared" si="4"/>
        <v>Sin iniciar</v>
      </c>
      <c r="K69" s="4" t="str">
        <f t="shared" si="3"/>
        <v>❌ Cancelado</v>
      </c>
    </row>
    <row r="70">
      <c r="A70" s="13"/>
      <c r="B70" s="13"/>
      <c r="C70" s="9" t="str">
        <f t="shared" si="1"/>
        <v>diciembre</v>
      </c>
      <c r="D70" s="10" t="s">
        <v>4</v>
      </c>
      <c r="E70" s="4" t="s">
        <v>5</v>
      </c>
      <c r="F70" s="11"/>
      <c r="G70" s="11"/>
      <c r="I70" s="14"/>
      <c r="J70" s="11" t="str">
        <f t="shared" si="4"/>
        <v>Sin iniciar</v>
      </c>
      <c r="K70" s="4" t="str">
        <f t="shared" si="3"/>
        <v>❌ Cancelado</v>
      </c>
    </row>
    <row r="71">
      <c r="A71" s="13"/>
      <c r="B71" s="13"/>
      <c r="C71" s="9" t="str">
        <f t="shared" si="1"/>
        <v>diciembre</v>
      </c>
      <c r="D71" s="10" t="s">
        <v>4</v>
      </c>
      <c r="E71" s="4" t="s">
        <v>5</v>
      </c>
      <c r="F71" s="11"/>
      <c r="G71" s="11"/>
      <c r="I71" s="14"/>
      <c r="J71" s="11" t="str">
        <f t="shared" si="4"/>
        <v>Sin iniciar</v>
      </c>
      <c r="K71" s="4" t="str">
        <f t="shared" si="3"/>
        <v>❌ Cancelado</v>
      </c>
    </row>
    <row r="72">
      <c r="A72" s="13"/>
      <c r="B72" s="13"/>
      <c r="C72" s="9" t="str">
        <f t="shared" si="1"/>
        <v>diciembre</v>
      </c>
      <c r="D72" s="10" t="s">
        <v>4</v>
      </c>
      <c r="E72" s="4" t="s">
        <v>5</v>
      </c>
      <c r="F72" s="11"/>
      <c r="G72" s="11"/>
      <c r="I72" s="14"/>
      <c r="J72" s="11" t="str">
        <f t="shared" si="4"/>
        <v>Sin iniciar</v>
      </c>
      <c r="K72" s="4" t="str">
        <f t="shared" si="3"/>
        <v>❌ Cancelado</v>
      </c>
    </row>
    <row r="73">
      <c r="A73" s="13"/>
      <c r="B73" s="13"/>
      <c r="C73" s="9" t="str">
        <f t="shared" si="1"/>
        <v>diciembre</v>
      </c>
      <c r="D73" s="10" t="s">
        <v>4</v>
      </c>
      <c r="E73" s="4" t="s">
        <v>5</v>
      </c>
      <c r="F73" s="11"/>
      <c r="G73" s="11"/>
      <c r="I73" s="14"/>
      <c r="J73" s="11" t="str">
        <f t="shared" si="4"/>
        <v>Sin iniciar</v>
      </c>
      <c r="K73" s="4" t="str">
        <f t="shared" si="3"/>
        <v>❌ Cancelado</v>
      </c>
    </row>
    <row r="74">
      <c r="A74" s="13"/>
      <c r="B74" s="13"/>
      <c r="C74" s="9" t="str">
        <f t="shared" si="1"/>
        <v>diciembre</v>
      </c>
      <c r="D74" s="10" t="s">
        <v>4</v>
      </c>
      <c r="E74" s="4" t="s">
        <v>5</v>
      </c>
      <c r="F74" s="11"/>
      <c r="G74" s="11"/>
      <c r="I74" s="14"/>
      <c r="J74" s="11" t="str">
        <f t="shared" si="4"/>
        <v>Sin iniciar</v>
      </c>
      <c r="K74" s="4" t="str">
        <f t="shared" si="3"/>
        <v>❌ Cancelado</v>
      </c>
    </row>
    <row r="75">
      <c r="A75" s="13"/>
      <c r="B75" s="13"/>
      <c r="C75" s="9" t="str">
        <f t="shared" si="1"/>
        <v>diciembre</v>
      </c>
      <c r="D75" s="10" t="s">
        <v>4</v>
      </c>
      <c r="E75" s="4" t="s">
        <v>5</v>
      </c>
      <c r="F75" s="11"/>
      <c r="G75" s="11"/>
      <c r="I75" s="14"/>
      <c r="J75" s="11" t="str">
        <f t="shared" si="4"/>
        <v>Sin iniciar</v>
      </c>
      <c r="K75" s="4" t="str">
        <f t="shared" si="3"/>
        <v>❌ Cancelado</v>
      </c>
    </row>
    <row r="76">
      <c r="A76" s="13"/>
      <c r="B76" s="13"/>
      <c r="C76" s="9" t="str">
        <f t="shared" si="1"/>
        <v>diciembre</v>
      </c>
      <c r="D76" s="10" t="s">
        <v>4</v>
      </c>
      <c r="E76" s="4" t="s">
        <v>5</v>
      </c>
      <c r="F76" s="11"/>
      <c r="G76" s="11"/>
      <c r="I76" s="14"/>
      <c r="J76" s="11" t="str">
        <f t="shared" si="4"/>
        <v>Sin iniciar</v>
      </c>
      <c r="K76" s="4" t="str">
        <f t="shared" si="3"/>
        <v>❌ Cancelado</v>
      </c>
    </row>
    <row r="77">
      <c r="A77" s="13"/>
      <c r="B77" s="13"/>
      <c r="C77" s="9" t="str">
        <f t="shared" si="1"/>
        <v>diciembre</v>
      </c>
      <c r="D77" s="10" t="s">
        <v>4</v>
      </c>
      <c r="E77" s="4" t="s">
        <v>5</v>
      </c>
      <c r="F77" s="11"/>
      <c r="G77" s="11"/>
      <c r="I77" s="14"/>
      <c r="J77" s="11" t="str">
        <f t="shared" si="4"/>
        <v>Sin iniciar</v>
      </c>
      <c r="K77" s="4" t="str">
        <f t="shared" si="3"/>
        <v>❌ Cancelado</v>
      </c>
    </row>
    <row r="78">
      <c r="A78" s="13"/>
      <c r="B78" s="13"/>
      <c r="C78" s="9" t="str">
        <f t="shared" si="1"/>
        <v>diciembre</v>
      </c>
      <c r="D78" s="10" t="s">
        <v>4</v>
      </c>
      <c r="E78" s="4" t="s">
        <v>5</v>
      </c>
      <c r="F78" s="11"/>
      <c r="G78" s="11"/>
      <c r="I78" s="14"/>
      <c r="J78" s="11" t="str">
        <f t="shared" si="4"/>
        <v>Sin iniciar</v>
      </c>
      <c r="K78" s="4" t="str">
        <f t="shared" si="3"/>
        <v>❌ Cancelado</v>
      </c>
    </row>
    <row r="79">
      <c r="A79" s="13"/>
      <c r="B79" s="13"/>
      <c r="C79" s="9" t="str">
        <f t="shared" si="1"/>
        <v>diciembre</v>
      </c>
      <c r="D79" s="10" t="s">
        <v>4</v>
      </c>
      <c r="E79" s="4" t="s">
        <v>5</v>
      </c>
      <c r="F79" s="11"/>
      <c r="G79" s="11"/>
      <c r="I79" s="14"/>
      <c r="J79" s="11" t="str">
        <f t="shared" si="4"/>
        <v>Sin iniciar</v>
      </c>
      <c r="K79" s="4" t="str">
        <f t="shared" si="3"/>
        <v>❌ Cancelado</v>
      </c>
    </row>
    <row r="80">
      <c r="A80" s="13"/>
      <c r="B80" s="13"/>
      <c r="C80" s="9" t="str">
        <f t="shared" si="1"/>
        <v>diciembre</v>
      </c>
      <c r="D80" s="10" t="s">
        <v>4</v>
      </c>
      <c r="E80" s="4" t="s">
        <v>5</v>
      </c>
      <c r="F80" s="11"/>
      <c r="G80" s="11"/>
      <c r="I80" s="14"/>
      <c r="J80" s="11" t="str">
        <f t="shared" si="4"/>
        <v>Sin iniciar</v>
      </c>
      <c r="K80" s="4" t="str">
        <f t="shared" si="3"/>
        <v>❌ Cancelado</v>
      </c>
    </row>
    <row r="81">
      <c r="A81" s="13"/>
      <c r="B81" s="13"/>
      <c r="C81" s="9" t="str">
        <f t="shared" si="1"/>
        <v>diciembre</v>
      </c>
      <c r="D81" s="10" t="s">
        <v>4</v>
      </c>
      <c r="E81" s="4" t="s">
        <v>5</v>
      </c>
      <c r="F81" s="11"/>
      <c r="G81" s="11"/>
      <c r="I81" s="14"/>
      <c r="J81" s="11" t="str">
        <f t="shared" si="4"/>
        <v>Sin iniciar</v>
      </c>
      <c r="K81" s="4" t="str">
        <f t="shared" si="3"/>
        <v>❌ Cancelado</v>
      </c>
    </row>
    <row r="82">
      <c r="A82" s="13"/>
      <c r="B82" s="13"/>
      <c r="C82" s="9" t="str">
        <f t="shared" si="1"/>
        <v>diciembre</v>
      </c>
      <c r="D82" s="10" t="s">
        <v>4</v>
      </c>
      <c r="E82" s="4" t="s">
        <v>5</v>
      </c>
      <c r="F82" s="11"/>
      <c r="G82" s="11"/>
      <c r="I82" s="14"/>
      <c r="J82" s="11" t="str">
        <f t="shared" si="4"/>
        <v>Sin iniciar</v>
      </c>
      <c r="K82" s="4" t="str">
        <f t="shared" si="3"/>
        <v>❌ Cancelado</v>
      </c>
    </row>
    <row r="83">
      <c r="A83" s="13"/>
      <c r="B83" s="13"/>
      <c r="C83" s="9" t="str">
        <f t="shared" si="1"/>
        <v>diciembre</v>
      </c>
      <c r="D83" s="10" t="s">
        <v>4</v>
      </c>
      <c r="E83" s="4" t="s">
        <v>5</v>
      </c>
      <c r="F83" s="11"/>
      <c r="G83" s="11"/>
      <c r="I83" s="14"/>
      <c r="J83" s="11" t="str">
        <f t="shared" si="4"/>
        <v>Sin iniciar</v>
      </c>
      <c r="K83" s="4" t="str">
        <f t="shared" si="3"/>
        <v>❌ Cancelado</v>
      </c>
    </row>
    <row r="84">
      <c r="A84" s="13"/>
      <c r="B84" s="13"/>
      <c r="C84" s="9" t="str">
        <f t="shared" si="1"/>
        <v>diciembre</v>
      </c>
      <c r="D84" s="10" t="s">
        <v>4</v>
      </c>
      <c r="E84" s="4" t="s">
        <v>5</v>
      </c>
      <c r="F84" s="11"/>
      <c r="G84" s="11"/>
      <c r="I84" s="14"/>
      <c r="J84" s="11" t="str">
        <f t="shared" si="4"/>
        <v>Sin iniciar</v>
      </c>
      <c r="K84" s="4" t="str">
        <f t="shared" si="3"/>
        <v>❌ Cancelado</v>
      </c>
    </row>
    <row r="85">
      <c r="A85" s="13"/>
      <c r="B85" s="13"/>
      <c r="C85" s="9" t="str">
        <f t="shared" si="1"/>
        <v>diciembre</v>
      </c>
      <c r="D85" s="10" t="s">
        <v>4</v>
      </c>
      <c r="E85" s="4" t="s">
        <v>5</v>
      </c>
      <c r="F85" s="11"/>
      <c r="G85" s="11"/>
      <c r="I85" s="14"/>
      <c r="J85" s="11" t="str">
        <f t="shared" si="4"/>
        <v>Sin iniciar</v>
      </c>
      <c r="K85" s="4" t="str">
        <f t="shared" si="3"/>
        <v>❌ Cancelado</v>
      </c>
    </row>
    <row r="86">
      <c r="A86" s="13"/>
      <c r="B86" s="13"/>
      <c r="C86" s="9" t="str">
        <f t="shared" si="1"/>
        <v>diciembre</v>
      </c>
      <c r="D86" s="10" t="s">
        <v>4</v>
      </c>
      <c r="E86" s="4" t="s">
        <v>5</v>
      </c>
      <c r="F86" s="11"/>
      <c r="G86" s="11"/>
      <c r="I86" s="14"/>
      <c r="J86" s="11" t="str">
        <f t="shared" si="4"/>
        <v>Sin iniciar</v>
      </c>
      <c r="K86" s="4" t="str">
        <f t="shared" si="3"/>
        <v>❌ Cancelado</v>
      </c>
    </row>
    <row r="87">
      <c r="A87" s="13"/>
      <c r="B87" s="13"/>
      <c r="C87" s="9" t="str">
        <f t="shared" si="1"/>
        <v>diciembre</v>
      </c>
      <c r="D87" s="10" t="s">
        <v>4</v>
      </c>
      <c r="E87" s="4" t="s">
        <v>5</v>
      </c>
      <c r="F87" s="11"/>
      <c r="G87" s="11"/>
      <c r="I87" s="14"/>
      <c r="J87" s="11" t="str">
        <f t="shared" si="4"/>
        <v>Sin iniciar</v>
      </c>
      <c r="K87" s="4" t="str">
        <f t="shared" si="3"/>
        <v>❌ Cancelado</v>
      </c>
    </row>
    <row r="88">
      <c r="A88" s="13"/>
      <c r="B88" s="13"/>
      <c r="C88" s="9" t="str">
        <f t="shared" si="1"/>
        <v>diciembre</v>
      </c>
      <c r="D88" s="10" t="s">
        <v>4</v>
      </c>
      <c r="E88" s="4" t="s">
        <v>5</v>
      </c>
      <c r="F88" s="11"/>
      <c r="G88" s="11"/>
      <c r="I88" s="14"/>
      <c r="J88" s="11" t="str">
        <f t="shared" si="4"/>
        <v>Sin iniciar</v>
      </c>
      <c r="K88" s="4" t="str">
        <f t="shared" si="3"/>
        <v>❌ Cancelado</v>
      </c>
    </row>
    <row r="89">
      <c r="A89" s="13"/>
      <c r="B89" s="13"/>
      <c r="C89" s="9" t="str">
        <f t="shared" si="1"/>
        <v>diciembre</v>
      </c>
      <c r="D89" s="10" t="s">
        <v>4</v>
      </c>
      <c r="E89" s="4" t="s">
        <v>5</v>
      </c>
      <c r="F89" s="11"/>
      <c r="G89" s="11"/>
      <c r="I89" s="14"/>
      <c r="J89" s="11" t="str">
        <f t="shared" si="4"/>
        <v>Sin iniciar</v>
      </c>
      <c r="K89" s="4" t="str">
        <f t="shared" si="3"/>
        <v>❌ Cancelado</v>
      </c>
    </row>
    <row r="90">
      <c r="A90" s="13"/>
      <c r="B90" s="13"/>
      <c r="C90" s="9" t="str">
        <f t="shared" si="1"/>
        <v>diciembre</v>
      </c>
      <c r="D90" s="10" t="s">
        <v>4</v>
      </c>
      <c r="E90" s="4" t="s">
        <v>5</v>
      </c>
      <c r="F90" s="11"/>
      <c r="G90" s="11"/>
      <c r="I90" s="14"/>
      <c r="J90" s="11" t="str">
        <f t="shared" si="4"/>
        <v>Sin iniciar</v>
      </c>
      <c r="K90" s="4" t="str">
        <f t="shared" si="3"/>
        <v>❌ Cancelado</v>
      </c>
    </row>
    <row r="91">
      <c r="A91" s="13"/>
      <c r="B91" s="13"/>
      <c r="C91" s="9" t="str">
        <f t="shared" si="1"/>
        <v>diciembre</v>
      </c>
      <c r="D91" s="10" t="s">
        <v>4</v>
      </c>
      <c r="E91" s="4" t="s">
        <v>5</v>
      </c>
      <c r="F91" s="11"/>
      <c r="G91" s="11"/>
      <c r="I91" s="14"/>
      <c r="J91" s="11" t="str">
        <f t="shared" si="4"/>
        <v>Sin iniciar</v>
      </c>
      <c r="K91" s="4" t="str">
        <f t="shared" si="3"/>
        <v>❌ Cancelado</v>
      </c>
    </row>
    <row r="92">
      <c r="A92" s="13"/>
      <c r="B92" s="13"/>
      <c r="C92" s="9" t="str">
        <f t="shared" si="1"/>
        <v>diciembre</v>
      </c>
      <c r="D92" s="10" t="s">
        <v>4</v>
      </c>
      <c r="E92" s="4" t="s">
        <v>5</v>
      </c>
      <c r="F92" s="11"/>
      <c r="G92" s="11"/>
      <c r="I92" s="14"/>
      <c r="J92" s="11" t="str">
        <f t="shared" si="4"/>
        <v>Sin iniciar</v>
      </c>
      <c r="K92" s="4" t="str">
        <f t="shared" si="3"/>
        <v>❌ Cancelado</v>
      </c>
    </row>
    <row r="93">
      <c r="A93" s="13"/>
      <c r="B93" s="13"/>
      <c r="C93" s="9" t="str">
        <f t="shared" si="1"/>
        <v>diciembre</v>
      </c>
      <c r="D93" s="10" t="s">
        <v>4</v>
      </c>
      <c r="E93" s="4" t="s">
        <v>5</v>
      </c>
      <c r="F93" s="11"/>
      <c r="G93" s="11"/>
      <c r="I93" s="14"/>
      <c r="J93" s="11" t="str">
        <f t="shared" si="4"/>
        <v>Sin iniciar</v>
      </c>
      <c r="K93" s="4" t="str">
        <f t="shared" si="3"/>
        <v>❌ Cancelado</v>
      </c>
    </row>
    <row r="94">
      <c r="A94" s="13"/>
      <c r="B94" s="13"/>
      <c r="C94" s="9" t="str">
        <f t="shared" si="1"/>
        <v>diciembre</v>
      </c>
      <c r="D94" s="10" t="s">
        <v>4</v>
      </c>
      <c r="E94" s="4" t="s">
        <v>5</v>
      </c>
      <c r="F94" s="11"/>
      <c r="G94" s="11"/>
      <c r="I94" s="14"/>
      <c r="J94" s="11" t="str">
        <f t="shared" si="4"/>
        <v>Sin iniciar</v>
      </c>
      <c r="K94" s="4" t="str">
        <f t="shared" si="3"/>
        <v>❌ Cancelado</v>
      </c>
    </row>
    <row r="95">
      <c r="A95" s="13"/>
      <c r="B95" s="13"/>
      <c r="C95" s="9" t="str">
        <f t="shared" si="1"/>
        <v>diciembre</v>
      </c>
      <c r="D95" s="10" t="s">
        <v>4</v>
      </c>
      <c r="E95" s="4" t="s">
        <v>5</v>
      </c>
      <c r="F95" s="11"/>
      <c r="G95" s="11"/>
      <c r="I95" s="14"/>
      <c r="J95" s="11" t="str">
        <f t="shared" si="4"/>
        <v>Sin iniciar</v>
      </c>
      <c r="K95" s="4" t="str">
        <f t="shared" si="3"/>
        <v>❌ Cancelado</v>
      </c>
    </row>
    <row r="96">
      <c r="A96" s="13"/>
      <c r="B96" s="13"/>
      <c r="C96" s="9" t="str">
        <f t="shared" si="1"/>
        <v>diciembre</v>
      </c>
      <c r="D96" s="10" t="s">
        <v>4</v>
      </c>
      <c r="E96" s="4" t="s">
        <v>5</v>
      </c>
      <c r="F96" s="11"/>
      <c r="G96" s="11"/>
      <c r="I96" s="14"/>
      <c r="J96" s="11" t="str">
        <f t="shared" si="4"/>
        <v>Sin iniciar</v>
      </c>
      <c r="K96" s="4" t="str">
        <f t="shared" si="3"/>
        <v>❌ Cancelado</v>
      </c>
    </row>
    <row r="97">
      <c r="A97" s="13"/>
      <c r="B97" s="13"/>
      <c r="C97" s="9" t="str">
        <f t="shared" si="1"/>
        <v>diciembre</v>
      </c>
      <c r="D97" s="10" t="s">
        <v>4</v>
      </c>
      <c r="E97" s="4" t="s">
        <v>5</v>
      </c>
      <c r="F97" s="11"/>
      <c r="G97" s="11"/>
      <c r="I97" s="14"/>
      <c r="J97" s="11" t="str">
        <f t="shared" si="4"/>
        <v>Sin iniciar</v>
      </c>
      <c r="K97" s="4" t="str">
        <f t="shared" si="3"/>
        <v>❌ Cancelado</v>
      </c>
    </row>
    <row r="98">
      <c r="A98" s="13"/>
      <c r="B98" s="13"/>
      <c r="C98" s="9" t="str">
        <f t="shared" si="1"/>
        <v>diciembre</v>
      </c>
      <c r="D98" s="10" t="s">
        <v>4</v>
      </c>
      <c r="E98" s="4" t="s">
        <v>5</v>
      </c>
      <c r="F98" s="11"/>
      <c r="G98" s="11"/>
      <c r="I98" s="14"/>
      <c r="J98" s="11" t="str">
        <f t="shared" si="4"/>
        <v>Sin iniciar</v>
      </c>
      <c r="K98" s="4" t="str">
        <f t="shared" si="3"/>
        <v>❌ Cancelado</v>
      </c>
    </row>
    <row r="99">
      <c r="A99" s="13"/>
      <c r="B99" s="13"/>
      <c r="C99" s="9" t="str">
        <f t="shared" si="1"/>
        <v>diciembre</v>
      </c>
      <c r="D99" s="10" t="s">
        <v>4</v>
      </c>
      <c r="E99" s="4" t="s">
        <v>5</v>
      </c>
      <c r="F99" s="11"/>
      <c r="G99" s="11"/>
      <c r="I99" s="14"/>
      <c r="J99" s="11" t="str">
        <f t="shared" si="4"/>
        <v>Sin iniciar</v>
      </c>
      <c r="K99" s="4" t="str">
        <f t="shared" si="3"/>
        <v>❌ Cancelado</v>
      </c>
    </row>
    <row r="100">
      <c r="A100" s="13"/>
      <c r="B100" s="13"/>
      <c r="C100" s="9" t="str">
        <f t="shared" si="1"/>
        <v>diciembre</v>
      </c>
      <c r="D100" s="10" t="s">
        <v>4</v>
      </c>
      <c r="E100" s="4" t="s">
        <v>5</v>
      </c>
      <c r="F100" s="11"/>
      <c r="G100" s="11"/>
      <c r="I100" s="14"/>
      <c r="J100" s="11" t="str">
        <f t="shared" si="4"/>
        <v>Sin iniciar</v>
      </c>
      <c r="K100" s="4" t="str">
        <f t="shared" si="3"/>
        <v>❌ Cancelado</v>
      </c>
    </row>
    <row r="101">
      <c r="A101" s="13"/>
      <c r="B101" s="13"/>
      <c r="C101" s="9" t="str">
        <f t="shared" si="1"/>
        <v>diciembre</v>
      </c>
      <c r="D101" s="10" t="s">
        <v>4</v>
      </c>
      <c r="E101" s="4" t="s">
        <v>5</v>
      </c>
      <c r="F101" s="11"/>
      <c r="G101" s="11"/>
      <c r="I101" s="14"/>
      <c r="J101" s="11" t="str">
        <f t="shared" si="4"/>
        <v>Sin iniciar</v>
      </c>
      <c r="K101" s="4" t="str">
        <f t="shared" si="3"/>
        <v>❌ Cancelado</v>
      </c>
    </row>
    <row r="102">
      <c r="A102" s="13"/>
      <c r="B102" s="13"/>
      <c r="C102" s="9" t="str">
        <f t="shared" si="1"/>
        <v>diciembre</v>
      </c>
      <c r="D102" s="10" t="s">
        <v>4</v>
      </c>
      <c r="E102" s="4" t="s">
        <v>5</v>
      </c>
      <c r="F102" s="11"/>
      <c r="G102" s="11"/>
      <c r="I102" s="14"/>
      <c r="J102" s="11" t="str">
        <f t="shared" si="4"/>
        <v>Sin iniciar</v>
      </c>
      <c r="K102" s="4" t="str">
        <f t="shared" si="3"/>
        <v>❌ Cancelado</v>
      </c>
    </row>
    <row r="103">
      <c r="A103" s="13"/>
      <c r="B103" s="13"/>
      <c r="C103" s="9" t="str">
        <f t="shared" si="1"/>
        <v>diciembre</v>
      </c>
      <c r="D103" s="10" t="s">
        <v>4</v>
      </c>
      <c r="E103" s="4" t="s">
        <v>5</v>
      </c>
      <c r="F103" s="11"/>
      <c r="G103" s="11"/>
      <c r="I103" s="14"/>
      <c r="J103" s="11" t="str">
        <f t="shared" si="4"/>
        <v>Sin iniciar</v>
      </c>
      <c r="K103" s="4" t="str">
        <f t="shared" si="3"/>
        <v>❌ Cancelado</v>
      </c>
    </row>
    <row r="104">
      <c r="A104" s="13"/>
      <c r="B104" s="13"/>
      <c r="C104" s="9" t="str">
        <f t="shared" si="1"/>
        <v>diciembre</v>
      </c>
      <c r="D104" s="10" t="s">
        <v>4</v>
      </c>
      <c r="E104" s="4" t="s">
        <v>5</v>
      </c>
      <c r="F104" s="11"/>
      <c r="G104" s="11"/>
      <c r="I104" s="14"/>
      <c r="J104" s="11" t="str">
        <f t="shared" si="4"/>
        <v>Sin iniciar</v>
      </c>
      <c r="K104" s="4" t="str">
        <f t="shared" si="3"/>
        <v>❌ Cancelado</v>
      </c>
    </row>
    <row r="105">
      <c r="A105" s="13"/>
      <c r="B105" s="13"/>
      <c r="C105" s="9" t="str">
        <f t="shared" si="1"/>
        <v>diciembre</v>
      </c>
      <c r="D105" s="10" t="s">
        <v>4</v>
      </c>
      <c r="E105" s="4" t="s">
        <v>5</v>
      </c>
      <c r="F105" s="11"/>
      <c r="G105" s="11"/>
      <c r="I105" s="14"/>
      <c r="J105" s="11" t="str">
        <f t="shared" si="4"/>
        <v>Sin iniciar</v>
      </c>
      <c r="K105" s="4" t="str">
        <f t="shared" si="3"/>
        <v>❌ Cancelado</v>
      </c>
    </row>
    <row r="106">
      <c r="A106" s="13"/>
      <c r="B106" s="13"/>
      <c r="C106" s="9" t="str">
        <f t="shared" si="1"/>
        <v>diciembre</v>
      </c>
      <c r="D106" s="10" t="s">
        <v>4</v>
      </c>
      <c r="E106" s="4" t="s">
        <v>5</v>
      </c>
      <c r="F106" s="11"/>
      <c r="G106" s="11"/>
      <c r="I106" s="14"/>
      <c r="J106" s="11" t="str">
        <f t="shared" si="4"/>
        <v>Sin iniciar</v>
      </c>
      <c r="K106" s="4" t="str">
        <f t="shared" si="3"/>
        <v>❌ Cancelado</v>
      </c>
    </row>
    <row r="107">
      <c r="A107" s="13"/>
      <c r="B107" s="13"/>
      <c r="C107" s="9" t="str">
        <f t="shared" si="1"/>
        <v>diciembre</v>
      </c>
      <c r="D107" s="10" t="s">
        <v>4</v>
      </c>
      <c r="E107" s="4" t="s">
        <v>5</v>
      </c>
      <c r="F107" s="11"/>
      <c r="G107" s="11"/>
      <c r="I107" s="14"/>
      <c r="J107" s="11" t="str">
        <f t="shared" si="4"/>
        <v>Sin iniciar</v>
      </c>
      <c r="K107" s="4" t="str">
        <f t="shared" si="3"/>
        <v>❌ Cancelado</v>
      </c>
    </row>
    <row r="108">
      <c r="A108" s="13"/>
      <c r="B108" s="13"/>
      <c r="C108" s="9" t="str">
        <f t="shared" si="1"/>
        <v>diciembre</v>
      </c>
      <c r="D108" s="10" t="s">
        <v>4</v>
      </c>
      <c r="E108" s="4" t="s">
        <v>5</v>
      </c>
      <c r="F108" s="11"/>
      <c r="G108" s="11"/>
      <c r="I108" s="14"/>
      <c r="J108" s="11" t="str">
        <f t="shared" si="4"/>
        <v>Sin iniciar</v>
      </c>
      <c r="K108" s="4" t="str">
        <f t="shared" si="3"/>
        <v>❌ Cancelado</v>
      </c>
    </row>
    <row r="109">
      <c r="A109" s="13"/>
      <c r="B109" s="13"/>
      <c r="C109" s="9" t="str">
        <f t="shared" si="1"/>
        <v>diciembre</v>
      </c>
      <c r="D109" s="10" t="s">
        <v>4</v>
      </c>
      <c r="E109" s="4" t="s">
        <v>5</v>
      </c>
      <c r="F109" s="11"/>
      <c r="G109" s="11"/>
      <c r="I109" s="14"/>
      <c r="J109" s="11" t="str">
        <f t="shared" si="4"/>
        <v>Sin iniciar</v>
      </c>
      <c r="K109" s="4" t="str">
        <f t="shared" si="3"/>
        <v>❌ Cancelado</v>
      </c>
    </row>
    <row r="110">
      <c r="A110" s="13"/>
      <c r="B110" s="13"/>
      <c r="C110" s="9" t="str">
        <f t="shared" si="1"/>
        <v>diciembre</v>
      </c>
      <c r="D110" s="10" t="s">
        <v>4</v>
      </c>
      <c r="E110" s="4" t="s">
        <v>5</v>
      </c>
      <c r="F110" s="11"/>
      <c r="G110" s="11"/>
      <c r="I110" s="14"/>
      <c r="J110" s="11" t="str">
        <f t="shared" si="4"/>
        <v>Sin iniciar</v>
      </c>
      <c r="K110" s="4" t="str">
        <f t="shared" si="3"/>
        <v>❌ Cancelado</v>
      </c>
    </row>
    <row r="111">
      <c r="A111" s="13"/>
      <c r="B111" s="13"/>
      <c r="C111" s="9" t="str">
        <f t="shared" si="1"/>
        <v>diciembre</v>
      </c>
      <c r="D111" s="10" t="s">
        <v>4</v>
      </c>
      <c r="E111" s="4" t="s">
        <v>5</v>
      </c>
      <c r="F111" s="11"/>
      <c r="G111" s="11"/>
      <c r="I111" s="14"/>
      <c r="J111" s="11" t="str">
        <f t="shared" si="4"/>
        <v>Sin iniciar</v>
      </c>
      <c r="K111" s="4" t="str">
        <f t="shared" si="3"/>
        <v>❌ Cancelado</v>
      </c>
    </row>
    <row r="112">
      <c r="A112" s="13"/>
      <c r="B112" s="13"/>
      <c r="C112" s="9" t="str">
        <f t="shared" si="1"/>
        <v>diciembre</v>
      </c>
      <c r="D112" s="10" t="s">
        <v>4</v>
      </c>
      <c r="E112" s="4" t="s">
        <v>5</v>
      </c>
      <c r="F112" s="11"/>
      <c r="G112" s="11"/>
      <c r="I112" s="14"/>
      <c r="J112" s="11" t="str">
        <f t="shared" si="4"/>
        <v>Sin iniciar</v>
      </c>
      <c r="K112" s="4" t="str">
        <f t="shared" si="3"/>
        <v>❌ Cancelado</v>
      </c>
    </row>
    <row r="113">
      <c r="A113" s="13"/>
      <c r="B113" s="13"/>
      <c r="C113" s="9" t="str">
        <f t="shared" si="1"/>
        <v>diciembre</v>
      </c>
      <c r="D113" s="10" t="s">
        <v>4</v>
      </c>
      <c r="E113" s="4" t="s">
        <v>5</v>
      </c>
      <c r="F113" s="11"/>
      <c r="G113" s="11"/>
      <c r="I113" s="14"/>
      <c r="J113" s="11" t="str">
        <f t="shared" si="4"/>
        <v>Sin iniciar</v>
      </c>
      <c r="K113" s="4" t="str">
        <f t="shared" si="3"/>
        <v>❌ Cancelado</v>
      </c>
    </row>
    <row r="114">
      <c r="A114" s="13"/>
      <c r="B114" s="13"/>
      <c r="C114" s="9" t="str">
        <f t="shared" si="1"/>
        <v>diciembre</v>
      </c>
      <c r="D114" s="10" t="s">
        <v>4</v>
      </c>
      <c r="E114" s="4" t="s">
        <v>5</v>
      </c>
      <c r="F114" s="11"/>
      <c r="G114" s="11"/>
      <c r="I114" s="14"/>
      <c r="J114" s="11" t="str">
        <f t="shared" si="4"/>
        <v>Sin iniciar</v>
      </c>
      <c r="K114" s="4" t="str">
        <f t="shared" si="3"/>
        <v>❌ Cancelado</v>
      </c>
    </row>
    <row r="115">
      <c r="A115" s="13"/>
      <c r="B115" s="13"/>
      <c r="C115" s="9" t="str">
        <f t="shared" si="1"/>
        <v>diciembre</v>
      </c>
      <c r="D115" s="10" t="s">
        <v>4</v>
      </c>
      <c r="E115" s="4" t="s">
        <v>5</v>
      </c>
      <c r="F115" s="11"/>
      <c r="G115" s="11"/>
      <c r="I115" s="14"/>
      <c r="J115" s="11" t="str">
        <f t="shared" si="4"/>
        <v>Sin iniciar</v>
      </c>
      <c r="K115" s="4" t="str">
        <f t="shared" si="3"/>
        <v>❌ Cancelado</v>
      </c>
    </row>
    <row r="116">
      <c r="A116" s="13"/>
      <c r="B116" s="13"/>
      <c r="C116" s="9" t="str">
        <f t="shared" si="1"/>
        <v>diciembre</v>
      </c>
      <c r="D116" s="10" t="s">
        <v>4</v>
      </c>
      <c r="E116" s="4" t="s">
        <v>5</v>
      </c>
      <c r="F116" s="11"/>
      <c r="G116" s="11"/>
      <c r="I116" s="14"/>
      <c r="J116" s="11" t="str">
        <f t="shared" si="4"/>
        <v>Sin iniciar</v>
      </c>
      <c r="K116" s="4" t="str">
        <f t="shared" si="3"/>
        <v>❌ Cancelado</v>
      </c>
    </row>
    <row r="117">
      <c r="A117" s="13"/>
      <c r="B117" s="13"/>
      <c r="C117" s="9" t="str">
        <f t="shared" si="1"/>
        <v>diciembre</v>
      </c>
      <c r="D117" s="10" t="s">
        <v>4</v>
      </c>
      <c r="E117" s="4" t="s">
        <v>5</v>
      </c>
      <c r="F117" s="11"/>
      <c r="G117" s="11"/>
      <c r="I117" s="14"/>
      <c r="J117" s="11" t="str">
        <f t="shared" si="4"/>
        <v>Sin iniciar</v>
      </c>
      <c r="K117" s="4" t="str">
        <f t="shared" si="3"/>
        <v>❌ Cancelado</v>
      </c>
    </row>
    <row r="118">
      <c r="A118" s="13"/>
      <c r="B118" s="13"/>
      <c r="C118" s="9" t="str">
        <f t="shared" si="1"/>
        <v>diciembre</v>
      </c>
      <c r="D118" s="10" t="s">
        <v>4</v>
      </c>
      <c r="E118" s="4" t="s">
        <v>5</v>
      </c>
      <c r="F118" s="11"/>
      <c r="G118" s="11"/>
      <c r="I118" s="14"/>
      <c r="J118" s="11" t="str">
        <f t="shared" si="4"/>
        <v>Sin iniciar</v>
      </c>
      <c r="K118" s="4" t="str">
        <f t="shared" si="3"/>
        <v>❌ Cancelado</v>
      </c>
    </row>
    <row r="119">
      <c r="A119" s="13"/>
      <c r="B119" s="13"/>
      <c r="C119" s="9" t="str">
        <f t="shared" si="1"/>
        <v>diciembre</v>
      </c>
      <c r="D119" s="10" t="s">
        <v>4</v>
      </c>
      <c r="E119" s="4" t="s">
        <v>5</v>
      </c>
      <c r="F119" s="11"/>
      <c r="G119" s="11"/>
      <c r="I119" s="14"/>
      <c r="J119" s="11" t="str">
        <f t="shared" si="4"/>
        <v>Sin iniciar</v>
      </c>
      <c r="K119" s="4" t="str">
        <f t="shared" si="3"/>
        <v>❌ Cancelado</v>
      </c>
    </row>
    <row r="120">
      <c r="A120" s="13"/>
      <c r="B120" s="13"/>
      <c r="C120" s="9" t="str">
        <f t="shared" si="1"/>
        <v>diciembre</v>
      </c>
      <c r="D120" s="10" t="s">
        <v>4</v>
      </c>
      <c r="E120" s="4" t="s">
        <v>5</v>
      </c>
      <c r="F120" s="11"/>
      <c r="G120" s="11"/>
      <c r="I120" s="14"/>
      <c r="J120" s="11" t="str">
        <f t="shared" si="4"/>
        <v>Sin iniciar</v>
      </c>
      <c r="K120" s="4" t="str">
        <f t="shared" si="3"/>
        <v>❌ Cancelado</v>
      </c>
    </row>
    <row r="121">
      <c r="A121" s="13"/>
      <c r="B121" s="13"/>
      <c r="C121" s="9" t="str">
        <f t="shared" si="1"/>
        <v>diciembre</v>
      </c>
      <c r="D121" s="10" t="s">
        <v>4</v>
      </c>
      <c r="E121" s="4" t="s">
        <v>5</v>
      </c>
      <c r="F121" s="11"/>
      <c r="G121" s="11"/>
      <c r="I121" s="14"/>
      <c r="J121" s="11" t="str">
        <f t="shared" si="4"/>
        <v>Sin iniciar</v>
      </c>
      <c r="K121" s="4" t="str">
        <f t="shared" si="3"/>
        <v>❌ Cancelado</v>
      </c>
    </row>
    <row r="122">
      <c r="A122" s="13"/>
      <c r="B122" s="13"/>
      <c r="C122" s="9" t="str">
        <f t="shared" si="1"/>
        <v>diciembre</v>
      </c>
      <c r="D122" s="10" t="s">
        <v>4</v>
      </c>
      <c r="E122" s="4" t="s">
        <v>5</v>
      </c>
      <c r="F122" s="11"/>
      <c r="G122" s="11"/>
      <c r="I122" s="14"/>
      <c r="J122" s="11" t="str">
        <f t="shared" si="4"/>
        <v>Sin iniciar</v>
      </c>
      <c r="K122" s="4" t="str">
        <f t="shared" si="3"/>
        <v>❌ Cancelado</v>
      </c>
    </row>
    <row r="123">
      <c r="A123" s="13"/>
      <c r="B123" s="13"/>
      <c r="C123" s="9" t="str">
        <f t="shared" si="1"/>
        <v>diciembre</v>
      </c>
      <c r="D123" s="10" t="s">
        <v>4</v>
      </c>
      <c r="E123" s="4" t="s">
        <v>5</v>
      </c>
      <c r="F123" s="11"/>
      <c r="G123" s="11"/>
      <c r="I123" s="14"/>
      <c r="J123" s="11" t="str">
        <f t="shared" si="4"/>
        <v>Sin iniciar</v>
      </c>
      <c r="K123" s="4" t="str">
        <f t="shared" si="3"/>
        <v>❌ Cancelado</v>
      </c>
    </row>
    <row r="124">
      <c r="A124" s="13"/>
      <c r="B124" s="13"/>
      <c r="C124" s="9" t="str">
        <f t="shared" si="1"/>
        <v>diciembre</v>
      </c>
      <c r="D124" s="10" t="s">
        <v>4</v>
      </c>
      <c r="E124" s="4" t="s">
        <v>5</v>
      </c>
      <c r="F124" s="11"/>
      <c r="G124" s="11"/>
      <c r="I124" s="14"/>
      <c r="J124" s="11" t="str">
        <f t="shared" si="4"/>
        <v>Sin iniciar</v>
      </c>
      <c r="K124" s="4" t="str">
        <f t="shared" si="3"/>
        <v>❌ Cancelado</v>
      </c>
    </row>
    <row r="125">
      <c r="A125" s="13"/>
      <c r="B125" s="13"/>
      <c r="C125" s="9" t="str">
        <f t="shared" si="1"/>
        <v>diciembre</v>
      </c>
      <c r="D125" s="10" t="s">
        <v>4</v>
      </c>
      <c r="E125" s="4" t="s">
        <v>5</v>
      </c>
      <c r="F125" s="11"/>
      <c r="G125" s="11"/>
      <c r="I125" s="14"/>
      <c r="J125" s="11" t="str">
        <f t="shared" si="4"/>
        <v>Sin iniciar</v>
      </c>
      <c r="K125" s="4" t="str">
        <f t="shared" si="3"/>
        <v>❌ Cancelado</v>
      </c>
    </row>
    <row r="126">
      <c r="A126" s="13"/>
      <c r="B126" s="13"/>
      <c r="C126" s="9" t="str">
        <f t="shared" si="1"/>
        <v>diciembre</v>
      </c>
      <c r="D126" s="10" t="s">
        <v>4</v>
      </c>
      <c r="E126" s="4" t="s">
        <v>5</v>
      </c>
      <c r="F126" s="11"/>
      <c r="G126" s="11"/>
      <c r="I126" s="14"/>
      <c r="J126" s="11" t="str">
        <f t="shared" si="4"/>
        <v>Sin iniciar</v>
      </c>
      <c r="K126" s="4" t="str">
        <f t="shared" si="3"/>
        <v>❌ Cancelado</v>
      </c>
    </row>
    <row r="127">
      <c r="A127" s="13"/>
      <c r="B127" s="13"/>
      <c r="C127" s="9" t="str">
        <f t="shared" si="1"/>
        <v>diciembre</v>
      </c>
      <c r="D127" s="10" t="s">
        <v>4</v>
      </c>
      <c r="E127" s="4" t="s">
        <v>5</v>
      </c>
      <c r="F127" s="11"/>
      <c r="G127" s="11"/>
      <c r="I127" s="14"/>
      <c r="J127" s="11" t="str">
        <f t="shared" si="4"/>
        <v>Sin iniciar</v>
      </c>
      <c r="K127" s="4" t="str">
        <f t="shared" si="3"/>
        <v>❌ Cancelado</v>
      </c>
    </row>
    <row r="128">
      <c r="A128" s="13"/>
      <c r="B128" s="13"/>
      <c r="C128" s="9" t="str">
        <f t="shared" si="1"/>
        <v>diciembre</v>
      </c>
      <c r="D128" s="10" t="s">
        <v>4</v>
      </c>
      <c r="E128" s="4" t="s">
        <v>5</v>
      </c>
      <c r="F128" s="11"/>
      <c r="G128" s="11"/>
      <c r="I128" s="14"/>
      <c r="J128" s="11" t="str">
        <f t="shared" si="4"/>
        <v>Sin iniciar</v>
      </c>
      <c r="K128" s="4" t="str">
        <f t="shared" si="3"/>
        <v>❌ Cancelado</v>
      </c>
    </row>
    <row r="129">
      <c r="A129" s="13"/>
      <c r="B129" s="13"/>
      <c r="C129" s="9" t="str">
        <f t="shared" si="1"/>
        <v>diciembre</v>
      </c>
      <c r="D129" s="10" t="s">
        <v>4</v>
      </c>
      <c r="E129" s="4" t="s">
        <v>5</v>
      </c>
      <c r="F129" s="11"/>
      <c r="G129" s="11"/>
      <c r="I129" s="14"/>
      <c r="J129" s="11" t="str">
        <f t="shared" si="4"/>
        <v>Sin iniciar</v>
      </c>
      <c r="K129" s="4" t="str">
        <f t="shared" si="3"/>
        <v>❌ Cancelado</v>
      </c>
    </row>
    <row r="130">
      <c r="A130" s="13"/>
      <c r="B130" s="13"/>
      <c r="C130" s="9" t="str">
        <f t="shared" si="1"/>
        <v>diciembre</v>
      </c>
      <c r="D130" s="10" t="s">
        <v>4</v>
      </c>
      <c r="E130" s="4" t="s">
        <v>5</v>
      </c>
      <c r="F130" s="11"/>
      <c r="G130" s="11"/>
      <c r="I130" s="14"/>
      <c r="J130" s="11" t="str">
        <f t="shared" si="4"/>
        <v>Sin iniciar</v>
      </c>
      <c r="K130" s="4" t="str">
        <f t="shared" si="3"/>
        <v>❌ Cancelado</v>
      </c>
    </row>
    <row r="131">
      <c r="A131" s="13"/>
      <c r="B131" s="13"/>
      <c r="C131" s="9" t="str">
        <f t="shared" si="1"/>
        <v>diciembre</v>
      </c>
      <c r="D131" s="10" t="s">
        <v>4</v>
      </c>
      <c r="E131" s="4" t="s">
        <v>5</v>
      </c>
      <c r="F131" s="11"/>
      <c r="G131" s="11"/>
      <c r="I131" s="14"/>
      <c r="J131" s="11" t="str">
        <f t="shared" si="4"/>
        <v>Sin iniciar</v>
      </c>
      <c r="K131" s="4" t="str">
        <f t="shared" si="3"/>
        <v>❌ Cancelado</v>
      </c>
    </row>
    <row r="132">
      <c r="A132" s="13"/>
      <c r="B132" s="13"/>
      <c r="C132" s="9" t="str">
        <f t="shared" si="1"/>
        <v>diciembre</v>
      </c>
      <c r="D132" s="10" t="s">
        <v>4</v>
      </c>
      <c r="E132" s="4" t="s">
        <v>5</v>
      </c>
      <c r="F132" s="11"/>
      <c r="G132" s="11"/>
      <c r="I132" s="14"/>
      <c r="J132" s="11" t="str">
        <f t="shared" si="4"/>
        <v>Sin iniciar</v>
      </c>
      <c r="K132" s="4" t="str">
        <f t="shared" si="3"/>
        <v>❌ Cancelado</v>
      </c>
    </row>
    <row r="133">
      <c r="A133" s="13"/>
      <c r="B133" s="13"/>
      <c r="C133" s="9" t="str">
        <f t="shared" si="1"/>
        <v>diciembre</v>
      </c>
      <c r="D133" s="10" t="s">
        <v>4</v>
      </c>
      <c r="E133" s="4" t="s">
        <v>5</v>
      </c>
      <c r="F133" s="11"/>
      <c r="G133" s="11"/>
      <c r="I133" s="14"/>
      <c r="J133" s="11" t="str">
        <f t="shared" si="4"/>
        <v>Sin iniciar</v>
      </c>
      <c r="K133" s="4" t="str">
        <f t="shared" si="3"/>
        <v>❌ Cancelado</v>
      </c>
    </row>
    <row r="134">
      <c r="A134" s="13"/>
      <c r="B134" s="13"/>
      <c r="C134" s="9" t="str">
        <f t="shared" si="1"/>
        <v>diciembre</v>
      </c>
      <c r="D134" s="10" t="s">
        <v>4</v>
      </c>
      <c r="E134" s="4" t="s">
        <v>5</v>
      </c>
      <c r="F134" s="11"/>
      <c r="G134" s="11"/>
      <c r="I134" s="14"/>
      <c r="J134" s="11" t="str">
        <f t="shared" si="4"/>
        <v>Sin iniciar</v>
      </c>
      <c r="K134" s="4" t="str">
        <f t="shared" si="3"/>
        <v>❌ Cancelado</v>
      </c>
    </row>
    <row r="135">
      <c r="A135" s="13"/>
      <c r="B135" s="13"/>
      <c r="C135" s="9" t="str">
        <f t="shared" si="1"/>
        <v>diciembre</v>
      </c>
      <c r="D135" s="10" t="s">
        <v>4</v>
      </c>
      <c r="E135" s="4" t="s">
        <v>5</v>
      </c>
      <c r="F135" s="11"/>
      <c r="G135" s="11"/>
      <c r="I135" s="14"/>
      <c r="J135" s="11" t="str">
        <f t="shared" si="4"/>
        <v>Sin iniciar</v>
      </c>
      <c r="K135" s="4" t="str">
        <f t="shared" si="3"/>
        <v>❌ Cancelado</v>
      </c>
    </row>
    <row r="136">
      <c r="A136" s="13"/>
      <c r="B136" s="13"/>
      <c r="C136" s="9" t="str">
        <f t="shared" si="1"/>
        <v>diciembre</v>
      </c>
      <c r="D136" s="10" t="s">
        <v>4</v>
      </c>
      <c r="E136" s="4" t="s">
        <v>5</v>
      </c>
      <c r="F136" s="11"/>
      <c r="G136" s="11"/>
      <c r="I136" s="14"/>
      <c r="J136" s="11" t="str">
        <f t="shared" si="4"/>
        <v>Sin iniciar</v>
      </c>
      <c r="K136" s="4" t="str">
        <f t="shared" si="3"/>
        <v>❌ Cancelado</v>
      </c>
    </row>
    <row r="137">
      <c r="A137" s="13"/>
      <c r="B137" s="13"/>
      <c r="C137" s="9" t="str">
        <f t="shared" si="1"/>
        <v>diciembre</v>
      </c>
      <c r="D137" s="10" t="s">
        <v>4</v>
      </c>
      <c r="E137" s="4" t="s">
        <v>5</v>
      </c>
      <c r="F137" s="11"/>
      <c r="G137" s="11"/>
      <c r="I137" s="14"/>
      <c r="J137" s="11" t="str">
        <f t="shared" si="4"/>
        <v>Sin iniciar</v>
      </c>
      <c r="K137" s="4" t="str">
        <f t="shared" si="3"/>
        <v>❌ Cancelado</v>
      </c>
    </row>
    <row r="138">
      <c r="A138" s="13"/>
      <c r="B138" s="13"/>
      <c r="C138" s="9" t="str">
        <f t="shared" si="1"/>
        <v>diciembre</v>
      </c>
      <c r="D138" s="10" t="s">
        <v>4</v>
      </c>
      <c r="E138" s="4" t="s">
        <v>5</v>
      </c>
      <c r="F138" s="11"/>
      <c r="G138" s="11"/>
      <c r="I138" s="14"/>
      <c r="J138" s="11" t="str">
        <f t="shared" si="4"/>
        <v>Sin iniciar</v>
      </c>
      <c r="K138" s="4" t="str">
        <f t="shared" si="3"/>
        <v>❌ Cancelado</v>
      </c>
    </row>
    <row r="139">
      <c r="A139" s="13"/>
      <c r="B139" s="13"/>
      <c r="C139" s="9" t="str">
        <f t="shared" si="1"/>
        <v>diciembre</v>
      </c>
      <c r="D139" s="10" t="s">
        <v>4</v>
      </c>
      <c r="E139" s="4" t="s">
        <v>5</v>
      </c>
      <c r="F139" s="11"/>
      <c r="G139" s="11"/>
      <c r="I139" s="14"/>
      <c r="J139" s="11" t="str">
        <f t="shared" si="4"/>
        <v>Sin iniciar</v>
      </c>
      <c r="K139" s="4" t="str">
        <f t="shared" si="3"/>
        <v>❌ Cancelado</v>
      </c>
    </row>
    <row r="140">
      <c r="A140" s="13"/>
      <c r="B140" s="13"/>
      <c r="C140" s="9" t="str">
        <f t="shared" si="1"/>
        <v>diciembre</v>
      </c>
      <c r="D140" s="10" t="s">
        <v>4</v>
      </c>
      <c r="E140" s="4" t="s">
        <v>5</v>
      </c>
      <c r="F140" s="11"/>
      <c r="G140" s="11"/>
      <c r="I140" s="14"/>
      <c r="J140" s="11" t="str">
        <f t="shared" si="4"/>
        <v>Sin iniciar</v>
      </c>
      <c r="K140" s="4" t="str">
        <f t="shared" si="3"/>
        <v>❌ Cancelado</v>
      </c>
    </row>
    <row r="141">
      <c r="A141" s="13"/>
      <c r="B141" s="13"/>
      <c r="C141" s="9" t="str">
        <f t="shared" si="1"/>
        <v>diciembre</v>
      </c>
      <c r="D141" s="10" t="s">
        <v>4</v>
      </c>
      <c r="E141" s="4" t="s">
        <v>5</v>
      </c>
      <c r="F141" s="11"/>
      <c r="G141" s="11"/>
      <c r="I141" s="14"/>
      <c r="J141" s="11" t="str">
        <f t="shared" si="4"/>
        <v>Sin iniciar</v>
      </c>
      <c r="K141" s="4" t="str">
        <f t="shared" si="3"/>
        <v>❌ Cancelado</v>
      </c>
    </row>
    <row r="142">
      <c r="A142" s="13"/>
      <c r="B142" s="13"/>
      <c r="C142" s="9" t="str">
        <f t="shared" si="1"/>
        <v>diciembre</v>
      </c>
      <c r="D142" s="10" t="s">
        <v>4</v>
      </c>
      <c r="E142" s="4" t="s">
        <v>5</v>
      </c>
      <c r="F142" s="11"/>
      <c r="G142" s="11"/>
      <c r="I142" s="14"/>
      <c r="J142" s="11" t="str">
        <f t="shared" si="4"/>
        <v>Sin iniciar</v>
      </c>
      <c r="K142" s="4" t="str">
        <f t="shared" si="3"/>
        <v>❌ Cancelado</v>
      </c>
    </row>
    <row r="143">
      <c r="A143" s="13"/>
      <c r="B143" s="13"/>
      <c r="C143" s="9" t="str">
        <f t="shared" si="1"/>
        <v>diciembre</v>
      </c>
      <c r="D143" s="10" t="s">
        <v>4</v>
      </c>
      <c r="E143" s="4" t="s">
        <v>5</v>
      </c>
      <c r="F143" s="11"/>
      <c r="G143" s="11"/>
      <c r="I143" s="14"/>
      <c r="J143" s="11" t="str">
        <f t="shared" si="4"/>
        <v>Sin iniciar</v>
      </c>
      <c r="K143" s="4" t="str">
        <f t="shared" si="3"/>
        <v>❌ Cancelado</v>
      </c>
    </row>
    <row r="144">
      <c r="A144" s="13"/>
      <c r="B144" s="13"/>
      <c r="C144" s="9" t="str">
        <f t="shared" si="1"/>
        <v>diciembre</v>
      </c>
      <c r="D144" s="10" t="s">
        <v>4</v>
      </c>
      <c r="E144" s="4" t="s">
        <v>5</v>
      </c>
      <c r="F144" s="11"/>
      <c r="G144" s="11"/>
      <c r="I144" s="14"/>
      <c r="J144" s="11" t="str">
        <f t="shared" si="4"/>
        <v>Sin iniciar</v>
      </c>
      <c r="K144" s="4" t="str">
        <f t="shared" si="3"/>
        <v>❌ Cancelado</v>
      </c>
    </row>
    <row r="145">
      <c r="A145" s="13"/>
      <c r="B145" s="13"/>
      <c r="C145" s="9" t="str">
        <f t="shared" si="1"/>
        <v>diciembre</v>
      </c>
      <c r="D145" s="10" t="s">
        <v>4</v>
      </c>
      <c r="E145" s="4" t="s">
        <v>5</v>
      </c>
      <c r="F145" s="11"/>
      <c r="G145" s="11"/>
      <c r="I145" s="14"/>
      <c r="J145" s="11" t="str">
        <f t="shared" si="4"/>
        <v>Sin iniciar</v>
      </c>
      <c r="K145" s="4" t="str">
        <f t="shared" si="3"/>
        <v>❌ Cancelado</v>
      </c>
    </row>
    <row r="146">
      <c r="A146" s="13"/>
      <c r="B146" s="13"/>
      <c r="C146" s="9" t="str">
        <f t="shared" si="1"/>
        <v>diciembre</v>
      </c>
      <c r="D146" s="10" t="s">
        <v>4</v>
      </c>
      <c r="E146" s="4" t="s">
        <v>5</v>
      </c>
      <c r="F146" s="11"/>
      <c r="G146" s="11"/>
      <c r="I146" s="14"/>
      <c r="J146" s="11" t="str">
        <f t="shared" si="4"/>
        <v>Sin iniciar</v>
      </c>
      <c r="K146" s="4" t="str">
        <f t="shared" si="3"/>
        <v>❌ Cancelado</v>
      </c>
    </row>
    <row r="147">
      <c r="A147" s="13"/>
      <c r="B147" s="13"/>
      <c r="C147" s="9" t="str">
        <f t="shared" si="1"/>
        <v>diciembre</v>
      </c>
      <c r="D147" s="10" t="s">
        <v>4</v>
      </c>
      <c r="E147" s="4" t="s">
        <v>5</v>
      </c>
      <c r="F147" s="11"/>
      <c r="G147" s="11"/>
      <c r="I147" s="14"/>
      <c r="J147" s="11" t="str">
        <f t="shared" si="4"/>
        <v>Sin iniciar</v>
      </c>
      <c r="K147" s="4" t="str">
        <f t="shared" si="3"/>
        <v>❌ Cancelado</v>
      </c>
    </row>
    <row r="148">
      <c r="A148" s="13"/>
      <c r="B148" s="13"/>
      <c r="C148" s="9" t="str">
        <f t="shared" si="1"/>
        <v>diciembre</v>
      </c>
      <c r="D148" s="10" t="s">
        <v>4</v>
      </c>
      <c r="E148" s="4" t="s">
        <v>5</v>
      </c>
      <c r="F148" s="11"/>
      <c r="G148" s="11"/>
      <c r="I148" s="14"/>
      <c r="J148" s="11" t="str">
        <f t="shared" si="4"/>
        <v>Sin iniciar</v>
      </c>
      <c r="K148" s="4" t="str">
        <f t="shared" si="3"/>
        <v>❌ Cancelado</v>
      </c>
    </row>
    <row r="149">
      <c r="A149" s="13"/>
      <c r="B149" s="13"/>
      <c r="C149" s="9" t="str">
        <f t="shared" si="1"/>
        <v>diciembre</v>
      </c>
      <c r="D149" s="10" t="s">
        <v>4</v>
      </c>
      <c r="E149" s="4" t="s">
        <v>5</v>
      </c>
      <c r="F149" s="11"/>
      <c r="G149" s="11"/>
      <c r="I149" s="14"/>
      <c r="J149" s="11" t="str">
        <f t="shared" si="4"/>
        <v>Sin iniciar</v>
      </c>
      <c r="K149" s="4" t="str">
        <f t="shared" si="3"/>
        <v>❌ Cancelado</v>
      </c>
    </row>
    <row r="150">
      <c r="A150" s="13"/>
      <c r="B150" s="13"/>
      <c r="C150" s="9" t="str">
        <f t="shared" si="1"/>
        <v>diciembre</v>
      </c>
      <c r="D150" s="10" t="s">
        <v>4</v>
      </c>
      <c r="E150" s="4" t="s">
        <v>5</v>
      </c>
      <c r="F150" s="11"/>
      <c r="G150" s="11"/>
      <c r="I150" s="14"/>
      <c r="J150" s="11" t="str">
        <f t="shared" si="4"/>
        <v>Sin iniciar</v>
      </c>
      <c r="K150" s="4" t="str">
        <f t="shared" si="3"/>
        <v>❌ Cancelado</v>
      </c>
    </row>
    <row r="151">
      <c r="A151" s="13"/>
      <c r="B151" s="13"/>
      <c r="C151" s="9" t="str">
        <f t="shared" si="1"/>
        <v>diciembre</v>
      </c>
      <c r="D151" s="10" t="s">
        <v>4</v>
      </c>
      <c r="E151" s="4" t="s">
        <v>5</v>
      </c>
      <c r="F151" s="11"/>
      <c r="G151" s="11"/>
      <c r="I151" s="14"/>
      <c r="J151" s="11" t="str">
        <f t="shared" si="4"/>
        <v>Sin iniciar</v>
      </c>
      <c r="K151" s="4" t="str">
        <f t="shared" si="3"/>
        <v>❌ Cancelado</v>
      </c>
    </row>
    <row r="152">
      <c r="A152" s="13"/>
      <c r="B152" s="13"/>
      <c r="C152" s="9" t="str">
        <f t="shared" si="1"/>
        <v>diciembre</v>
      </c>
      <c r="D152" s="10" t="s">
        <v>4</v>
      </c>
      <c r="E152" s="4" t="s">
        <v>5</v>
      </c>
      <c r="F152" s="11"/>
      <c r="G152" s="11"/>
      <c r="I152" s="14"/>
      <c r="J152" s="11" t="str">
        <f t="shared" si="4"/>
        <v>Sin iniciar</v>
      </c>
      <c r="K152" s="4" t="str">
        <f t="shared" si="3"/>
        <v>❌ Cancelado</v>
      </c>
    </row>
    <row r="153">
      <c r="A153" s="13"/>
      <c r="B153" s="13"/>
      <c r="C153" s="9" t="str">
        <f t="shared" si="1"/>
        <v>diciembre</v>
      </c>
      <c r="D153" s="10" t="s">
        <v>4</v>
      </c>
      <c r="E153" s="4" t="s">
        <v>5</v>
      </c>
      <c r="F153" s="11"/>
      <c r="G153" s="11"/>
      <c r="I153" s="14"/>
      <c r="J153" s="11" t="str">
        <f t="shared" si="4"/>
        <v>Sin iniciar</v>
      </c>
      <c r="K153" s="4" t="str">
        <f t="shared" si="3"/>
        <v>❌ Cancelado</v>
      </c>
    </row>
    <row r="154">
      <c r="A154" s="13"/>
      <c r="B154" s="13"/>
      <c r="C154" s="9" t="str">
        <f t="shared" si="1"/>
        <v>diciembre</v>
      </c>
      <c r="D154" s="10" t="s">
        <v>4</v>
      </c>
      <c r="E154" s="4" t="s">
        <v>5</v>
      </c>
      <c r="F154" s="11"/>
      <c r="G154" s="11"/>
      <c r="I154" s="14"/>
      <c r="J154" s="11" t="str">
        <f t="shared" si="4"/>
        <v>Sin iniciar</v>
      </c>
      <c r="K154" s="4" t="str">
        <f t="shared" si="3"/>
        <v>❌ Cancelado</v>
      </c>
    </row>
    <row r="155">
      <c r="A155" s="13"/>
      <c r="B155" s="13"/>
      <c r="C155" s="9" t="str">
        <f t="shared" si="1"/>
        <v>diciembre</v>
      </c>
      <c r="D155" s="10" t="s">
        <v>4</v>
      </c>
      <c r="E155" s="4" t="s">
        <v>5</v>
      </c>
      <c r="F155" s="11"/>
      <c r="G155" s="11"/>
      <c r="I155" s="14"/>
      <c r="J155" s="11" t="str">
        <f t="shared" si="4"/>
        <v>Sin iniciar</v>
      </c>
      <c r="K155" s="4" t="str">
        <f t="shared" si="3"/>
        <v>❌ Cancelado</v>
      </c>
    </row>
    <row r="156">
      <c r="A156" s="13"/>
      <c r="B156" s="13"/>
      <c r="C156" s="9" t="str">
        <f t="shared" si="1"/>
        <v>diciembre</v>
      </c>
      <c r="D156" s="10" t="s">
        <v>4</v>
      </c>
      <c r="E156" s="4" t="s">
        <v>5</v>
      </c>
      <c r="F156" s="11"/>
      <c r="G156" s="11"/>
      <c r="I156" s="14"/>
      <c r="J156" s="11" t="str">
        <f t="shared" si="4"/>
        <v>Sin iniciar</v>
      </c>
      <c r="K156" s="4" t="str">
        <f t="shared" si="3"/>
        <v>❌ Cancelado</v>
      </c>
    </row>
    <row r="157">
      <c r="A157" s="13"/>
      <c r="B157" s="13"/>
      <c r="C157" s="9" t="str">
        <f t="shared" si="1"/>
        <v>diciembre</v>
      </c>
      <c r="D157" s="10" t="s">
        <v>4</v>
      </c>
      <c r="E157" s="4" t="s">
        <v>5</v>
      </c>
      <c r="F157" s="11"/>
      <c r="G157" s="11"/>
      <c r="I157" s="14"/>
      <c r="J157" s="11" t="str">
        <f t="shared" si="4"/>
        <v>Sin iniciar</v>
      </c>
      <c r="K157" s="4" t="str">
        <f t="shared" si="3"/>
        <v>❌ Cancelado</v>
      </c>
    </row>
    <row r="158">
      <c r="A158" s="13"/>
      <c r="B158" s="13"/>
      <c r="C158" s="9" t="str">
        <f t="shared" si="1"/>
        <v>diciembre</v>
      </c>
      <c r="D158" s="10" t="s">
        <v>4</v>
      </c>
      <c r="E158" s="4" t="s">
        <v>5</v>
      </c>
      <c r="F158" s="11"/>
      <c r="G158" s="11"/>
      <c r="I158" s="14"/>
      <c r="J158" s="11" t="str">
        <f t="shared" si="4"/>
        <v>Sin iniciar</v>
      </c>
      <c r="K158" s="4" t="str">
        <f t="shared" si="3"/>
        <v>❌ Cancelado</v>
      </c>
    </row>
    <row r="159">
      <c r="A159" s="13"/>
      <c r="B159" s="13"/>
      <c r="C159" s="9" t="str">
        <f t="shared" si="1"/>
        <v>diciembre</v>
      </c>
      <c r="D159" s="10" t="s">
        <v>4</v>
      </c>
      <c r="E159" s="4" t="s">
        <v>5</v>
      </c>
      <c r="F159" s="11"/>
      <c r="G159" s="11"/>
      <c r="I159" s="14"/>
      <c r="J159" s="11" t="str">
        <f t="shared" si="4"/>
        <v>Sin iniciar</v>
      </c>
      <c r="K159" s="4" t="str">
        <f t="shared" si="3"/>
        <v>❌ Cancelado</v>
      </c>
    </row>
    <row r="160">
      <c r="A160" s="13"/>
      <c r="B160" s="13"/>
      <c r="C160" s="9" t="str">
        <f t="shared" si="1"/>
        <v>diciembre</v>
      </c>
      <c r="D160" s="10" t="s">
        <v>4</v>
      </c>
      <c r="E160" s="4" t="s">
        <v>5</v>
      </c>
      <c r="F160" s="11"/>
      <c r="G160" s="11"/>
      <c r="I160" s="14"/>
      <c r="J160" s="11" t="str">
        <f t="shared" si="4"/>
        <v>Sin iniciar</v>
      </c>
      <c r="K160" s="4" t="str">
        <f t="shared" si="3"/>
        <v>❌ Cancelado</v>
      </c>
    </row>
    <row r="161">
      <c r="A161" s="13"/>
      <c r="B161" s="13"/>
      <c r="C161" s="9" t="str">
        <f t="shared" si="1"/>
        <v>diciembre</v>
      </c>
      <c r="D161" s="10" t="s">
        <v>4</v>
      </c>
      <c r="E161" s="4" t="s">
        <v>5</v>
      </c>
      <c r="F161" s="11"/>
      <c r="G161" s="11"/>
      <c r="I161" s="14"/>
      <c r="J161" s="11" t="str">
        <f t="shared" si="4"/>
        <v>Sin iniciar</v>
      </c>
      <c r="K161" s="4" t="str">
        <f t="shared" si="3"/>
        <v>❌ Cancelado</v>
      </c>
    </row>
    <row r="162">
      <c r="A162" s="13"/>
      <c r="B162" s="13"/>
      <c r="C162" s="9" t="str">
        <f t="shared" si="1"/>
        <v>diciembre</v>
      </c>
      <c r="D162" s="10" t="s">
        <v>4</v>
      </c>
      <c r="E162" s="4" t="s">
        <v>5</v>
      </c>
      <c r="F162" s="11"/>
      <c r="G162" s="11"/>
      <c r="I162" s="14"/>
      <c r="J162" s="11" t="str">
        <f t="shared" si="4"/>
        <v>Sin iniciar</v>
      </c>
      <c r="K162" s="4" t="str">
        <f t="shared" si="3"/>
        <v>❌ Cancelado</v>
      </c>
    </row>
    <row r="163">
      <c r="A163" s="13"/>
      <c r="B163" s="13"/>
      <c r="C163" s="9" t="str">
        <f t="shared" si="1"/>
        <v>diciembre</v>
      </c>
      <c r="D163" s="10" t="s">
        <v>4</v>
      </c>
      <c r="E163" s="4" t="s">
        <v>5</v>
      </c>
      <c r="F163" s="11"/>
      <c r="G163" s="11"/>
      <c r="I163" s="14"/>
      <c r="J163" s="11" t="str">
        <f t="shared" si="4"/>
        <v>Sin iniciar</v>
      </c>
      <c r="K163" s="4" t="str">
        <f t="shared" si="3"/>
        <v>❌ Cancelado</v>
      </c>
    </row>
    <row r="164">
      <c r="A164" s="13"/>
      <c r="B164" s="13"/>
      <c r="C164" s="9" t="str">
        <f t="shared" si="1"/>
        <v>diciembre</v>
      </c>
      <c r="D164" s="10" t="s">
        <v>4</v>
      </c>
      <c r="E164" s="4" t="s">
        <v>5</v>
      </c>
      <c r="F164" s="11"/>
      <c r="G164" s="11"/>
      <c r="I164" s="14"/>
      <c r="J164" s="11" t="str">
        <f t="shared" si="4"/>
        <v>Sin iniciar</v>
      </c>
      <c r="K164" s="4" t="str">
        <f t="shared" si="3"/>
        <v>❌ Cancelado</v>
      </c>
    </row>
    <row r="165">
      <c r="A165" s="13"/>
      <c r="B165" s="13"/>
      <c r="C165" s="9" t="str">
        <f t="shared" si="1"/>
        <v>diciembre</v>
      </c>
      <c r="D165" s="10" t="s">
        <v>4</v>
      </c>
      <c r="E165" s="4" t="s">
        <v>5</v>
      </c>
      <c r="F165" s="11"/>
      <c r="G165" s="11"/>
      <c r="I165" s="14"/>
      <c r="J165" s="11" t="str">
        <f t="shared" si="4"/>
        <v>Sin iniciar</v>
      </c>
      <c r="K165" s="4" t="str">
        <f t="shared" si="3"/>
        <v>❌ Cancelado</v>
      </c>
    </row>
    <row r="166">
      <c r="A166" s="13"/>
      <c r="B166" s="13"/>
      <c r="C166" s="9" t="str">
        <f t="shared" si="1"/>
        <v>diciembre</v>
      </c>
      <c r="D166" s="10" t="s">
        <v>4</v>
      </c>
      <c r="E166" s="4" t="s">
        <v>5</v>
      </c>
      <c r="F166" s="11"/>
      <c r="G166" s="11"/>
      <c r="I166" s="14"/>
      <c r="J166" s="11" t="str">
        <f t="shared" si="4"/>
        <v>Sin iniciar</v>
      </c>
      <c r="K166" s="4" t="str">
        <f t="shared" si="3"/>
        <v>❌ Cancelado</v>
      </c>
    </row>
    <row r="167">
      <c r="A167" s="13"/>
      <c r="B167" s="13"/>
      <c r="C167" s="9" t="str">
        <f t="shared" si="1"/>
        <v>diciembre</v>
      </c>
      <c r="D167" s="10" t="s">
        <v>4</v>
      </c>
      <c r="E167" s="4" t="s">
        <v>5</v>
      </c>
      <c r="F167" s="11"/>
      <c r="G167" s="11"/>
      <c r="I167" s="14"/>
      <c r="J167" s="11" t="str">
        <f t="shared" si="4"/>
        <v>Sin iniciar</v>
      </c>
      <c r="K167" s="4" t="str">
        <f t="shared" si="3"/>
        <v>❌ Cancelado</v>
      </c>
    </row>
    <row r="168">
      <c r="A168" s="13"/>
      <c r="B168" s="13"/>
      <c r="C168" s="9" t="str">
        <f t="shared" si="1"/>
        <v>diciembre</v>
      </c>
      <c r="D168" s="10" t="s">
        <v>4</v>
      </c>
      <c r="E168" s="4" t="s">
        <v>5</v>
      </c>
      <c r="F168" s="11"/>
      <c r="G168" s="11"/>
      <c r="I168" s="14"/>
      <c r="J168" s="11" t="str">
        <f t="shared" si="4"/>
        <v>Sin iniciar</v>
      </c>
      <c r="K168" s="4" t="str">
        <f t="shared" si="3"/>
        <v>❌ Cancelado</v>
      </c>
    </row>
    <row r="169">
      <c r="A169" s="13"/>
      <c r="B169" s="13"/>
      <c r="C169" s="9" t="str">
        <f t="shared" si="1"/>
        <v>diciembre</v>
      </c>
      <c r="D169" s="10" t="s">
        <v>4</v>
      </c>
      <c r="E169" s="4" t="s">
        <v>5</v>
      </c>
      <c r="F169" s="11"/>
      <c r="G169" s="11"/>
      <c r="I169" s="14"/>
      <c r="J169" s="11" t="str">
        <f t="shared" si="4"/>
        <v>Sin iniciar</v>
      </c>
      <c r="K169" s="4" t="str">
        <f t="shared" si="3"/>
        <v>❌ Cancelado</v>
      </c>
    </row>
    <row r="170">
      <c r="A170" s="13"/>
      <c r="B170" s="13"/>
      <c r="C170" s="9" t="str">
        <f t="shared" si="1"/>
        <v>diciembre</v>
      </c>
      <c r="D170" s="10" t="s">
        <v>4</v>
      </c>
      <c r="E170" s="4" t="s">
        <v>5</v>
      </c>
      <c r="F170" s="11"/>
      <c r="G170" s="11"/>
      <c r="I170" s="14"/>
      <c r="J170" s="11" t="str">
        <f t="shared" si="4"/>
        <v>Sin iniciar</v>
      </c>
      <c r="K170" s="4" t="str">
        <f t="shared" si="3"/>
        <v>❌ Cancelado</v>
      </c>
    </row>
    <row r="171">
      <c r="A171" s="13"/>
      <c r="B171" s="13"/>
      <c r="C171" s="9" t="str">
        <f t="shared" si="1"/>
        <v>diciembre</v>
      </c>
      <c r="D171" s="10" t="s">
        <v>4</v>
      </c>
      <c r="E171" s="4" t="s">
        <v>5</v>
      </c>
      <c r="F171" s="11"/>
      <c r="G171" s="11"/>
      <c r="I171" s="14"/>
      <c r="J171" s="11" t="str">
        <f t="shared" si="4"/>
        <v>Sin iniciar</v>
      </c>
      <c r="K171" s="4" t="str">
        <f t="shared" si="3"/>
        <v>❌ Cancelado</v>
      </c>
    </row>
    <row r="172">
      <c r="A172" s="13"/>
      <c r="B172" s="13"/>
      <c r="C172" s="9" t="str">
        <f t="shared" si="1"/>
        <v>diciembre</v>
      </c>
      <c r="D172" s="10" t="s">
        <v>4</v>
      </c>
      <c r="E172" s="4" t="s">
        <v>5</v>
      </c>
      <c r="F172" s="11"/>
      <c r="G172" s="11"/>
      <c r="I172" s="14"/>
      <c r="J172" s="11" t="str">
        <f t="shared" si="4"/>
        <v>Sin iniciar</v>
      </c>
      <c r="K172" s="4" t="str">
        <f t="shared" si="3"/>
        <v>❌ Cancelado</v>
      </c>
    </row>
    <row r="173">
      <c r="A173" s="13"/>
      <c r="B173" s="13"/>
      <c r="C173" s="9" t="str">
        <f t="shared" si="1"/>
        <v>diciembre</v>
      </c>
      <c r="D173" s="10" t="s">
        <v>4</v>
      </c>
      <c r="E173" s="4" t="s">
        <v>5</v>
      </c>
      <c r="F173" s="11"/>
      <c r="G173" s="11"/>
      <c r="I173" s="14"/>
      <c r="J173" s="11" t="str">
        <f t="shared" si="4"/>
        <v>Sin iniciar</v>
      </c>
      <c r="K173" s="4" t="str">
        <f t="shared" si="3"/>
        <v>❌ Cancelado</v>
      </c>
    </row>
    <row r="174">
      <c r="A174" s="13"/>
      <c r="B174" s="13"/>
      <c r="C174" s="9" t="str">
        <f t="shared" si="1"/>
        <v>diciembre</v>
      </c>
      <c r="D174" s="10" t="s">
        <v>4</v>
      </c>
      <c r="E174" s="4" t="s">
        <v>5</v>
      </c>
      <c r="F174" s="11"/>
      <c r="G174" s="11"/>
      <c r="I174" s="14"/>
      <c r="J174" s="11" t="str">
        <f t="shared" si="4"/>
        <v>Sin iniciar</v>
      </c>
      <c r="K174" s="4" t="str">
        <f t="shared" si="3"/>
        <v>❌ Cancelado</v>
      </c>
    </row>
    <row r="175">
      <c r="A175" s="13"/>
      <c r="B175" s="13"/>
      <c r="C175" s="9" t="str">
        <f t="shared" si="1"/>
        <v>diciembre</v>
      </c>
      <c r="D175" s="10" t="s">
        <v>4</v>
      </c>
      <c r="E175" s="4" t="s">
        <v>5</v>
      </c>
      <c r="F175" s="11"/>
      <c r="G175" s="11"/>
      <c r="I175" s="14"/>
      <c r="J175" s="11" t="str">
        <f t="shared" si="4"/>
        <v>Sin iniciar</v>
      </c>
      <c r="K175" s="4" t="str">
        <f t="shared" si="3"/>
        <v>❌ Cancelado</v>
      </c>
    </row>
    <row r="176">
      <c r="A176" s="13"/>
      <c r="B176" s="13"/>
      <c r="C176" s="9" t="str">
        <f t="shared" si="1"/>
        <v>diciembre</v>
      </c>
      <c r="D176" s="10" t="s">
        <v>4</v>
      </c>
      <c r="E176" s="4" t="s">
        <v>5</v>
      </c>
      <c r="F176" s="11"/>
      <c r="G176" s="11"/>
      <c r="I176" s="14"/>
      <c r="J176" s="11" t="str">
        <f t="shared" si="4"/>
        <v>Sin iniciar</v>
      </c>
      <c r="K176" s="4" t="str">
        <f t="shared" si="3"/>
        <v>❌ Cancelado</v>
      </c>
    </row>
    <row r="177">
      <c r="A177" s="13"/>
      <c r="B177" s="13"/>
      <c r="C177" s="9" t="str">
        <f t="shared" si="1"/>
        <v>diciembre</v>
      </c>
      <c r="D177" s="10" t="s">
        <v>4</v>
      </c>
      <c r="E177" s="4" t="s">
        <v>5</v>
      </c>
      <c r="F177" s="11"/>
      <c r="G177" s="11"/>
      <c r="I177" s="14"/>
      <c r="J177" s="11" t="str">
        <f t="shared" si="4"/>
        <v>Sin iniciar</v>
      </c>
      <c r="K177" s="4" t="str">
        <f t="shared" si="3"/>
        <v>❌ Cancelado</v>
      </c>
    </row>
    <row r="178">
      <c r="A178" s="13"/>
      <c r="B178" s="13"/>
      <c r="C178" s="9" t="str">
        <f t="shared" si="1"/>
        <v>diciembre</v>
      </c>
      <c r="D178" s="10" t="s">
        <v>4</v>
      </c>
      <c r="E178" s="4" t="s">
        <v>5</v>
      </c>
      <c r="F178" s="11"/>
      <c r="G178" s="11"/>
      <c r="I178" s="14"/>
      <c r="J178" s="11" t="str">
        <f t="shared" si="4"/>
        <v>Sin iniciar</v>
      </c>
      <c r="K178" s="4" t="str">
        <f t="shared" si="3"/>
        <v>❌ Cancelado</v>
      </c>
    </row>
    <row r="179">
      <c r="A179" s="13"/>
      <c r="B179" s="13"/>
      <c r="C179" s="9" t="str">
        <f t="shared" si="1"/>
        <v>diciembre</v>
      </c>
      <c r="D179" s="10" t="s">
        <v>4</v>
      </c>
      <c r="E179" s="4" t="s">
        <v>5</v>
      </c>
      <c r="F179" s="11"/>
      <c r="G179" s="11"/>
      <c r="I179" s="14"/>
      <c r="J179" s="11" t="str">
        <f t="shared" si="4"/>
        <v>Sin iniciar</v>
      </c>
      <c r="K179" s="4" t="str">
        <f t="shared" si="3"/>
        <v>❌ Cancelado</v>
      </c>
    </row>
    <row r="180">
      <c r="A180" s="13"/>
      <c r="B180" s="13"/>
      <c r="C180" s="9" t="str">
        <f t="shared" si="1"/>
        <v>diciembre</v>
      </c>
      <c r="D180" s="10" t="s">
        <v>4</v>
      </c>
      <c r="E180" s="4" t="s">
        <v>5</v>
      </c>
      <c r="F180" s="11"/>
      <c r="G180" s="11"/>
      <c r="I180" s="14"/>
      <c r="J180" s="11" t="str">
        <f t="shared" si="4"/>
        <v>Sin iniciar</v>
      </c>
      <c r="K180" s="4" t="str">
        <f t="shared" si="3"/>
        <v>❌ Cancelado</v>
      </c>
    </row>
    <row r="181">
      <c r="A181" s="13"/>
      <c r="B181" s="13"/>
      <c r="C181" s="9" t="str">
        <f t="shared" si="1"/>
        <v>diciembre</v>
      </c>
      <c r="D181" s="10" t="s">
        <v>4</v>
      </c>
      <c r="E181" s="4" t="s">
        <v>5</v>
      </c>
      <c r="F181" s="11"/>
      <c r="G181" s="11"/>
      <c r="I181" s="14"/>
      <c r="J181" s="11" t="str">
        <f t="shared" si="4"/>
        <v>Sin iniciar</v>
      </c>
      <c r="K181" s="4" t="str">
        <f t="shared" si="3"/>
        <v>❌ Cancelado</v>
      </c>
    </row>
    <row r="182">
      <c r="A182" s="13"/>
      <c r="B182" s="13"/>
      <c r="C182" s="9" t="str">
        <f t="shared" si="1"/>
        <v>diciembre</v>
      </c>
      <c r="D182" s="10" t="s">
        <v>4</v>
      </c>
      <c r="E182" s="4" t="s">
        <v>5</v>
      </c>
      <c r="F182" s="11"/>
      <c r="G182" s="11"/>
      <c r="I182" s="14"/>
      <c r="J182" s="11" t="str">
        <f t="shared" si="4"/>
        <v>Sin iniciar</v>
      </c>
      <c r="K182" s="4" t="str">
        <f t="shared" si="3"/>
        <v>❌ Cancelado</v>
      </c>
    </row>
    <row r="183">
      <c r="A183" s="13"/>
      <c r="B183" s="13"/>
      <c r="C183" s="9" t="str">
        <f t="shared" si="1"/>
        <v>diciembre</v>
      </c>
      <c r="D183" s="10" t="s">
        <v>4</v>
      </c>
      <c r="E183" s="4" t="s">
        <v>5</v>
      </c>
      <c r="F183" s="11"/>
      <c r="G183" s="11"/>
      <c r="I183" s="14"/>
      <c r="J183" s="11" t="str">
        <f t="shared" si="4"/>
        <v>Sin iniciar</v>
      </c>
      <c r="K183" s="4" t="str">
        <f t="shared" si="3"/>
        <v>❌ Cancelado</v>
      </c>
    </row>
    <row r="184">
      <c r="A184" s="13"/>
      <c r="B184" s="13"/>
      <c r="C184" s="9" t="str">
        <f t="shared" si="1"/>
        <v>diciembre</v>
      </c>
      <c r="D184" s="10" t="s">
        <v>4</v>
      </c>
      <c r="E184" s="4" t="s">
        <v>5</v>
      </c>
      <c r="F184" s="11"/>
      <c r="G184" s="11"/>
      <c r="I184" s="14"/>
      <c r="J184" s="11" t="str">
        <f t="shared" si="4"/>
        <v>Sin iniciar</v>
      </c>
      <c r="K184" s="4" t="str">
        <f t="shared" si="3"/>
        <v>❌ Cancelado</v>
      </c>
    </row>
    <row r="185">
      <c r="E185" s="11" t="s">
        <v>49</v>
      </c>
    </row>
    <row r="186">
      <c r="E186" s="11" t="s">
        <v>49</v>
      </c>
    </row>
    <row r="187">
      <c r="E187" s="11" t="s">
        <v>49</v>
      </c>
    </row>
    <row r="188">
      <c r="E188" s="11" t="s">
        <v>49</v>
      </c>
    </row>
    <row r="189">
      <c r="E189" s="11" t="s">
        <v>49</v>
      </c>
    </row>
    <row r="190">
      <c r="E190" s="11" t="s">
        <v>49</v>
      </c>
    </row>
    <row r="191">
      <c r="E191" s="11" t="s">
        <v>49</v>
      </c>
    </row>
    <row r="192">
      <c r="E192" s="11" t="s">
        <v>49</v>
      </c>
    </row>
    <row r="193">
      <c r="E193" s="11" t="s">
        <v>49</v>
      </c>
    </row>
    <row r="194">
      <c r="E194" s="11" t="s">
        <v>49</v>
      </c>
    </row>
    <row r="195">
      <c r="E195" s="11" t="s">
        <v>49</v>
      </c>
    </row>
    <row r="196">
      <c r="E196" s="11" t="s">
        <v>49</v>
      </c>
    </row>
    <row r="197">
      <c r="E197" s="11" t="s">
        <v>49</v>
      </c>
    </row>
    <row r="198">
      <c r="E198" s="11" t="s">
        <v>49</v>
      </c>
    </row>
    <row r="199">
      <c r="E199" s="11" t="s">
        <v>49</v>
      </c>
    </row>
    <row r="200">
      <c r="E200" s="11" t="s">
        <v>49</v>
      </c>
    </row>
    <row r="201">
      <c r="E201" s="11" t="s">
        <v>49</v>
      </c>
    </row>
    <row r="202">
      <c r="E202" s="11" t="s">
        <v>49</v>
      </c>
    </row>
    <row r="203">
      <c r="E203" s="11" t="s">
        <v>49</v>
      </c>
    </row>
    <row r="204">
      <c r="E204" s="11" t="s">
        <v>49</v>
      </c>
    </row>
    <row r="205">
      <c r="E205" s="11" t="s">
        <v>49</v>
      </c>
    </row>
    <row r="206">
      <c r="E206" s="11" t="s">
        <v>49</v>
      </c>
    </row>
    <row r="207">
      <c r="E207" s="11" t="s">
        <v>49</v>
      </c>
    </row>
    <row r="208">
      <c r="E208" s="11" t="s">
        <v>49</v>
      </c>
    </row>
    <row r="209">
      <c r="E209" s="11" t="s">
        <v>49</v>
      </c>
    </row>
    <row r="210">
      <c r="E210" s="11" t="s">
        <v>49</v>
      </c>
    </row>
    <row r="211">
      <c r="E211" s="11" t="s">
        <v>49</v>
      </c>
    </row>
    <row r="212">
      <c r="E212" s="11" t="s">
        <v>49</v>
      </c>
    </row>
    <row r="213">
      <c r="E213" s="11" t="s">
        <v>49</v>
      </c>
    </row>
    <row r="214">
      <c r="E214" s="11" t="s">
        <v>49</v>
      </c>
    </row>
    <row r="215">
      <c r="E215" s="11" t="s">
        <v>49</v>
      </c>
    </row>
    <row r="216">
      <c r="E216" s="11" t="s">
        <v>49</v>
      </c>
    </row>
    <row r="217">
      <c r="E217" s="11" t="s">
        <v>49</v>
      </c>
    </row>
    <row r="218">
      <c r="E218" s="11" t="s">
        <v>49</v>
      </c>
    </row>
    <row r="219">
      <c r="E219" s="11" t="s">
        <v>49</v>
      </c>
    </row>
    <row r="220">
      <c r="E220" s="11" t="s">
        <v>49</v>
      </c>
    </row>
    <row r="221">
      <c r="E221" s="11" t="s">
        <v>49</v>
      </c>
    </row>
    <row r="222">
      <c r="E222" s="11" t="s">
        <v>49</v>
      </c>
    </row>
    <row r="223">
      <c r="E223" s="11" t="s">
        <v>49</v>
      </c>
    </row>
    <row r="224">
      <c r="E224" s="11" t="s">
        <v>49</v>
      </c>
    </row>
    <row r="225">
      <c r="E225" s="11" t="s">
        <v>49</v>
      </c>
    </row>
    <row r="226">
      <c r="E226" s="11" t="s">
        <v>49</v>
      </c>
    </row>
    <row r="227">
      <c r="E227" s="11" t="s">
        <v>49</v>
      </c>
    </row>
    <row r="228">
      <c r="E228" s="11" t="s">
        <v>49</v>
      </c>
    </row>
    <row r="229">
      <c r="E229" s="11" t="s">
        <v>49</v>
      </c>
    </row>
    <row r="230">
      <c r="E230" s="11" t="s">
        <v>49</v>
      </c>
    </row>
    <row r="231">
      <c r="E231" s="11" t="s">
        <v>49</v>
      </c>
    </row>
    <row r="232">
      <c r="E232" s="11" t="s">
        <v>49</v>
      </c>
    </row>
    <row r="233">
      <c r="E233" s="11" t="s">
        <v>49</v>
      </c>
    </row>
    <row r="234">
      <c r="E234" s="11" t="s">
        <v>49</v>
      </c>
    </row>
    <row r="235">
      <c r="E235" s="11" t="s">
        <v>49</v>
      </c>
    </row>
    <row r="236">
      <c r="E236" s="11" t="s">
        <v>49</v>
      </c>
    </row>
    <row r="237">
      <c r="E237" s="11" t="s">
        <v>49</v>
      </c>
    </row>
    <row r="238">
      <c r="E238" s="11" t="s">
        <v>49</v>
      </c>
    </row>
    <row r="239">
      <c r="E239" s="11" t="s">
        <v>49</v>
      </c>
    </row>
    <row r="240">
      <c r="E240" s="11" t="s">
        <v>49</v>
      </c>
    </row>
    <row r="241">
      <c r="E241" s="11" t="s">
        <v>49</v>
      </c>
    </row>
    <row r="242">
      <c r="E242" s="11" t="s">
        <v>49</v>
      </c>
    </row>
    <row r="243">
      <c r="E243" s="11" t="s">
        <v>49</v>
      </c>
    </row>
    <row r="244">
      <c r="E244" s="11" t="s">
        <v>49</v>
      </c>
    </row>
    <row r="245">
      <c r="E245" s="11" t="s">
        <v>49</v>
      </c>
    </row>
    <row r="246">
      <c r="E246" s="11" t="s">
        <v>49</v>
      </c>
    </row>
    <row r="247">
      <c r="E247" s="11" t="s">
        <v>49</v>
      </c>
    </row>
    <row r="248">
      <c r="E248" s="11" t="s">
        <v>49</v>
      </c>
    </row>
    <row r="249">
      <c r="E249" s="11" t="s">
        <v>49</v>
      </c>
    </row>
    <row r="250">
      <c r="E250" s="11" t="s">
        <v>49</v>
      </c>
    </row>
    <row r="251">
      <c r="E251" s="11" t="s">
        <v>49</v>
      </c>
    </row>
    <row r="252">
      <c r="E252" s="11" t="s">
        <v>49</v>
      </c>
    </row>
    <row r="253">
      <c r="E253" s="11" t="s">
        <v>49</v>
      </c>
    </row>
    <row r="254">
      <c r="E254" s="11" t="s">
        <v>49</v>
      </c>
    </row>
    <row r="255">
      <c r="E255" s="11" t="s">
        <v>49</v>
      </c>
    </row>
    <row r="256">
      <c r="E256" s="11" t="s">
        <v>49</v>
      </c>
    </row>
    <row r="257">
      <c r="E257" s="11" t="s">
        <v>49</v>
      </c>
    </row>
    <row r="258">
      <c r="E258" s="11" t="s">
        <v>49</v>
      </c>
    </row>
    <row r="259">
      <c r="E259" s="11" t="s">
        <v>49</v>
      </c>
    </row>
    <row r="260">
      <c r="E260" s="11" t="s">
        <v>49</v>
      </c>
    </row>
    <row r="261">
      <c r="E261" s="11" t="s">
        <v>49</v>
      </c>
    </row>
    <row r="262">
      <c r="E262" s="11" t="s">
        <v>49</v>
      </c>
    </row>
    <row r="263">
      <c r="E263" s="11" t="s">
        <v>49</v>
      </c>
    </row>
    <row r="264">
      <c r="E264" s="11" t="s">
        <v>49</v>
      </c>
    </row>
    <row r="265">
      <c r="E265" s="11" t="s">
        <v>49</v>
      </c>
    </row>
    <row r="266">
      <c r="E266" s="11" t="s">
        <v>49</v>
      </c>
    </row>
    <row r="267">
      <c r="E267" s="11" t="s">
        <v>49</v>
      </c>
    </row>
    <row r="268">
      <c r="E268" s="11" t="s">
        <v>49</v>
      </c>
    </row>
    <row r="269">
      <c r="E269" s="11" t="s">
        <v>49</v>
      </c>
    </row>
    <row r="270">
      <c r="E270" s="11" t="s">
        <v>49</v>
      </c>
    </row>
    <row r="271">
      <c r="E271" s="11" t="s">
        <v>49</v>
      </c>
    </row>
    <row r="272">
      <c r="E272" s="11" t="s">
        <v>49</v>
      </c>
    </row>
    <row r="273">
      <c r="E273" s="11" t="s">
        <v>49</v>
      </c>
    </row>
    <row r="274">
      <c r="E274" s="11" t="s">
        <v>49</v>
      </c>
    </row>
    <row r="275">
      <c r="E275" s="11" t="s">
        <v>49</v>
      </c>
    </row>
    <row r="276">
      <c r="E276" s="11" t="s">
        <v>49</v>
      </c>
    </row>
    <row r="277">
      <c r="E277" s="11" t="s">
        <v>49</v>
      </c>
    </row>
    <row r="278">
      <c r="E278" s="11" t="s">
        <v>49</v>
      </c>
    </row>
    <row r="279">
      <c r="E279" s="11" t="s">
        <v>49</v>
      </c>
    </row>
    <row r="280">
      <c r="E280" s="11" t="s">
        <v>49</v>
      </c>
    </row>
    <row r="281">
      <c r="E281" s="11" t="s">
        <v>49</v>
      </c>
    </row>
    <row r="282">
      <c r="E282" s="11" t="s">
        <v>49</v>
      </c>
    </row>
    <row r="283">
      <c r="E283" s="11" t="s">
        <v>49</v>
      </c>
    </row>
    <row r="284">
      <c r="E284" s="11" t="s">
        <v>49</v>
      </c>
    </row>
    <row r="285">
      <c r="E285" s="11" t="s">
        <v>49</v>
      </c>
    </row>
    <row r="286">
      <c r="E286" s="11" t="s">
        <v>49</v>
      </c>
    </row>
    <row r="287">
      <c r="E287" s="11" t="s">
        <v>49</v>
      </c>
    </row>
    <row r="288">
      <c r="E288" s="11" t="s">
        <v>49</v>
      </c>
    </row>
    <row r="289">
      <c r="E289" s="11" t="s">
        <v>49</v>
      </c>
    </row>
    <row r="290">
      <c r="E290" s="11" t="s">
        <v>49</v>
      </c>
    </row>
    <row r="291">
      <c r="E291" s="11" t="s">
        <v>49</v>
      </c>
    </row>
    <row r="292">
      <c r="E292" s="11" t="s">
        <v>49</v>
      </c>
    </row>
    <row r="293">
      <c r="E293" s="11" t="s">
        <v>49</v>
      </c>
    </row>
    <row r="294">
      <c r="E294" s="11" t="s">
        <v>49</v>
      </c>
    </row>
    <row r="295">
      <c r="E295" s="11" t="s">
        <v>49</v>
      </c>
    </row>
    <row r="296">
      <c r="E296" s="11" t="s">
        <v>49</v>
      </c>
    </row>
    <row r="297">
      <c r="E297" s="11" t="s">
        <v>49</v>
      </c>
    </row>
    <row r="298">
      <c r="E298" s="11" t="s">
        <v>49</v>
      </c>
    </row>
    <row r="299">
      <c r="E299" s="11" t="s">
        <v>49</v>
      </c>
    </row>
    <row r="300">
      <c r="E300" s="11" t="s">
        <v>49</v>
      </c>
    </row>
    <row r="301">
      <c r="E301" s="11" t="s">
        <v>49</v>
      </c>
    </row>
    <row r="302">
      <c r="E302" s="11" t="s">
        <v>49</v>
      </c>
    </row>
    <row r="303">
      <c r="E303" s="11" t="s">
        <v>49</v>
      </c>
    </row>
    <row r="304">
      <c r="E304" s="11" t="s">
        <v>49</v>
      </c>
    </row>
    <row r="305">
      <c r="E305" s="11" t="s">
        <v>49</v>
      </c>
    </row>
    <row r="306">
      <c r="E306" s="11" t="s">
        <v>49</v>
      </c>
    </row>
    <row r="307">
      <c r="E307" s="11" t="s">
        <v>49</v>
      </c>
    </row>
    <row r="308">
      <c r="E308" s="11" t="s">
        <v>49</v>
      </c>
    </row>
    <row r="309">
      <c r="E309" s="11" t="s">
        <v>49</v>
      </c>
    </row>
    <row r="310">
      <c r="E310" s="11" t="s">
        <v>49</v>
      </c>
    </row>
    <row r="311">
      <c r="E311" s="11" t="s">
        <v>49</v>
      </c>
    </row>
    <row r="312">
      <c r="E312" s="11" t="s">
        <v>49</v>
      </c>
    </row>
    <row r="313">
      <c r="E313" s="11" t="s">
        <v>49</v>
      </c>
    </row>
    <row r="314">
      <c r="E314" s="11" t="s">
        <v>49</v>
      </c>
    </row>
    <row r="315">
      <c r="E315" s="11" t="s">
        <v>49</v>
      </c>
    </row>
    <row r="316">
      <c r="E316" s="11" t="s">
        <v>49</v>
      </c>
    </row>
    <row r="317">
      <c r="E317" s="11" t="s">
        <v>49</v>
      </c>
    </row>
    <row r="318">
      <c r="E318" s="11" t="s">
        <v>49</v>
      </c>
    </row>
    <row r="319">
      <c r="E319" s="11" t="s">
        <v>49</v>
      </c>
    </row>
    <row r="320">
      <c r="E320" s="11" t="s">
        <v>49</v>
      </c>
    </row>
    <row r="321">
      <c r="E321" s="11" t="s">
        <v>49</v>
      </c>
    </row>
    <row r="322">
      <c r="E322" s="11" t="s">
        <v>49</v>
      </c>
    </row>
    <row r="323">
      <c r="E323" s="11" t="s">
        <v>49</v>
      </c>
    </row>
    <row r="324">
      <c r="E324" s="11" t="s">
        <v>49</v>
      </c>
    </row>
    <row r="325">
      <c r="E325" s="11" t="s">
        <v>49</v>
      </c>
    </row>
    <row r="326">
      <c r="E326" s="11" t="s">
        <v>49</v>
      </c>
    </row>
    <row r="327">
      <c r="E327" s="11" t="s">
        <v>49</v>
      </c>
    </row>
    <row r="328">
      <c r="E328" s="11" t="s">
        <v>49</v>
      </c>
    </row>
    <row r="329">
      <c r="E329" s="11" t="s">
        <v>49</v>
      </c>
    </row>
    <row r="330">
      <c r="E330" s="11" t="s">
        <v>49</v>
      </c>
    </row>
    <row r="331">
      <c r="E331" s="11" t="s">
        <v>49</v>
      </c>
    </row>
    <row r="332">
      <c r="E332" s="11" t="s">
        <v>49</v>
      </c>
    </row>
    <row r="333">
      <c r="E333" s="11" t="s">
        <v>49</v>
      </c>
    </row>
    <row r="334">
      <c r="E334" s="11" t="s">
        <v>49</v>
      </c>
    </row>
    <row r="335">
      <c r="E335" s="11" t="s">
        <v>49</v>
      </c>
    </row>
    <row r="336">
      <c r="E336" s="11" t="s">
        <v>49</v>
      </c>
    </row>
    <row r="337">
      <c r="E337" s="11" t="s">
        <v>49</v>
      </c>
    </row>
    <row r="338">
      <c r="E338" s="11" t="s">
        <v>49</v>
      </c>
    </row>
    <row r="339">
      <c r="E339" s="11" t="s">
        <v>49</v>
      </c>
    </row>
    <row r="340">
      <c r="E340" s="11" t="s">
        <v>49</v>
      </c>
    </row>
    <row r="341">
      <c r="E341" s="11" t="s">
        <v>49</v>
      </c>
    </row>
    <row r="342">
      <c r="E342" s="11" t="s">
        <v>49</v>
      </c>
    </row>
    <row r="343">
      <c r="E343" s="11" t="s">
        <v>49</v>
      </c>
    </row>
    <row r="344">
      <c r="E344" s="11" t="s">
        <v>49</v>
      </c>
    </row>
    <row r="345">
      <c r="E345" s="11" t="s">
        <v>49</v>
      </c>
    </row>
    <row r="346">
      <c r="E346" s="11" t="s">
        <v>49</v>
      </c>
    </row>
    <row r="347">
      <c r="E347" s="11" t="s">
        <v>49</v>
      </c>
    </row>
    <row r="348">
      <c r="E348" s="11" t="s">
        <v>49</v>
      </c>
    </row>
    <row r="349">
      <c r="E349" s="11" t="s">
        <v>49</v>
      </c>
    </row>
    <row r="350">
      <c r="E350" s="11" t="s">
        <v>49</v>
      </c>
    </row>
    <row r="351">
      <c r="E351" s="11" t="s">
        <v>49</v>
      </c>
    </row>
    <row r="352">
      <c r="E352" s="11" t="s">
        <v>49</v>
      </c>
    </row>
    <row r="353">
      <c r="E353" s="11" t="s">
        <v>49</v>
      </c>
    </row>
    <row r="354">
      <c r="E354" s="11" t="s">
        <v>49</v>
      </c>
    </row>
    <row r="355">
      <c r="E355" s="11" t="s">
        <v>49</v>
      </c>
    </row>
    <row r="356">
      <c r="E356" s="11" t="s">
        <v>49</v>
      </c>
    </row>
    <row r="357">
      <c r="E357" s="11" t="s">
        <v>49</v>
      </c>
    </row>
    <row r="358">
      <c r="E358" s="11" t="s">
        <v>49</v>
      </c>
    </row>
    <row r="359">
      <c r="E359" s="11" t="s">
        <v>49</v>
      </c>
    </row>
    <row r="360">
      <c r="E360" s="11" t="s">
        <v>49</v>
      </c>
    </row>
    <row r="361">
      <c r="E361" s="11" t="s">
        <v>49</v>
      </c>
    </row>
    <row r="362">
      <c r="E362" s="11" t="s">
        <v>49</v>
      </c>
    </row>
    <row r="363">
      <c r="E363" s="11" t="s">
        <v>49</v>
      </c>
    </row>
    <row r="364">
      <c r="E364" s="11" t="s">
        <v>49</v>
      </c>
    </row>
    <row r="365">
      <c r="E365" s="11" t="s">
        <v>49</v>
      </c>
    </row>
    <row r="366">
      <c r="E366" s="11" t="s">
        <v>49</v>
      </c>
    </row>
    <row r="367">
      <c r="E367" s="11" t="s">
        <v>49</v>
      </c>
    </row>
    <row r="368">
      <c r="E368" s="11" t="s">
        <v>49</v>
      </c>
    </row>
    <row r="369">
      <c r="E369" s="11" t="s">
        <v>49</v>
      </c>
    </row>
    <row r="370">
      <c r="E370" s="11" t="s">
        <v>49</v>
      </c>
    </row>
    <row r="371">
      <c r="E371" s="11" t="s">
        <v>49</v>
      </c>
    </row>
    <row r="372">
      <c r="E372" s="11" t="s">
        <v>49</v>
      </c>
    </row>
    <row r="373">
      <c r="E373" s="11" t="s">
        <v>49</v>
      </c>
    </row>
    <row r="374">
      <c r="E374" s="11" t="s">
        <v>49</v>
      </c>
    </row>
    <row r="375">
      <c r="E375" s="11" t="s">
        <v>49</v>
      </c>
    </row>
    <row r="376">
      <c r="E376" s="11" t="s">
        <v>49</v>
      </c>
    </row>
    <row r="377">
      <c r="E377" s="11" t="s">
        <v>49</v>
      </c>
    </row>
    <row r="378">
      <c r="E378" s="11" t="s">
        <v>49</v>
      </c>
    </row>
    <row r="379">
      <c r="E379" s="11" t="s">
        <v>49</v>
      </c>
    </row>
    <row r="380">
      <c r="E380" s="11" t="s">
        <v>49</v>
      </c>
    </row>
    <row r="381">
      <c r="E381" s="11" t="s">
        <v>49</v>
      </c>
    </row>
    <row r="382">
      <c r="E382" s="11" t="s">
        <v>49</v>
      </c>
    </row>
    <row r="383">
      <c r="E383" s="11" t="s">
        <v>49</v>
      </c>
    </row>
    <row r="384">
      <c r="E384" s="11" t="s">
        <v>49</v>
      </c>
    </row>
    <row r="385">
      <c r="E385" s="11" t="s">
        <v>49</v>
      </c>
    </row>
    <row r="386">
      <c r="E386" s="11" t="s">
        <v>49</v>
      </c>
    </row>
    <row r="387">
      <c r="E387" s="11" t="s">
        <v>49</v>
      </c>
    </row>
    <row r="388">
      <c r="E388" s="11" t="s">
        <v>49</v>
      </c>
    </row>
    <row r="389">
      <c r="E389" s="11" t="s">
        <v>49</v>
      </c>
    </row>
    <row r="390">
      <c r="E390" s="11" t="s">
        <v>49</v>
      </c>
    </row>
    <row r="391">
      <c r="E391" s="11" t="s">
        <v>49</v>
      </c>
    </row>
    <row r="392">
      <c r="E392" s="11" t="s">
        <v>49</v>
      </c>
    </row>
    <row r="393">
      <c r="E393" s="11" t="s">
        <v>49</v>
      </c>
    </row>
    <row r="394">
      <c r="E394" s="11" t="s">
        <v>49</v>
      </c>
    </row>
    <row r="395">
      <c r="E395" s="11" t="s">
        <v>49</v>
      </c>
    </row>
    <row r="396">
      <c r="E396" s="11" t="s">
        <v>49</v>
      </c>
    </row>
    <row r="397">
      <c r="E397" s="11" t="s">
        <v>49</v>
      </c>
    </row>
    <row r="398">
      <c r="E398" s="11" t="s">
        <v>49</v>
      </c>
    </row>
    <row r="399">
      <c r="E399" s="11" t="s">
        <v>49</v>
      </c>
    </row>
    <row r="400">
      <c r="E400" s="11" t="s">
        <v>49</v>
      </c>
    </row>
    <row r="401">
      <c r="E401" s="11" t="s">
        <v>49</v>
      </c>
    </row>
    <row r="402">
      <c r="E402" s="11" t="s">
        <v>49</v>
      </c>
    </row>
    <row r="403">
      <c r="E403" s="11" t="s">
        <v>49</v>
      </c>
    </row>
    <row r="404">
      <c r="E404" s="11" t="s">
        <v>49</v>
      </c>
    </row>
    <row r="405">
      <c r="E405" s="11" t="s">
        <v>49</v>
      </c>
    </row>
    <row r="406">
      <c r="E406" s="11" t="s">
        <v>49</v>
      </c>
    </row>
    <row r="407">
      <c r="E407" s="11" t="s">
        <v>49</v>
      </c>
    </row>
    <row r="408">
      <c r="E408" s="11" t="s">
        <v>49</v>
      </c>
    </row>
    <row r="409">
      <c r="E409" s="11" t="s">
        <v>49</v>
      </c>
    </row>
    <row r="410">
      <c r="E410" s="11" t="s">
        <v>49</v>
      </c>
    </row>
    <row r="411">
      <c r="E411" s="11" t="s">
        <v>49</v>
      </c>
    </row>
    <row r="412">
      <c r="E412" s="11" t="s">
        <v>49</v>
      </c>
    </row>
    <row r="413">
      <c r="E413" s="11" t="s">
        <v>49</v>
      </c>
    </row>
    <row r="414">
      <c r="E414" s="11" t="s">
        <v>49</v>
      </c>
    </row>
    <row r="415">
      <c r="E415" s="11" t="s">
        <v>49</v>
      </c>
    </row>
    <row r="416">
      <c r="E416" s="11" t="s">
        <v>49</v>
      </c>
    </row>
    <row r="417">
      <c r="E417" s="11" t="s">
        <v>49</v>
      </c>
    </row>
    <row r="418">
      <c r="E418" s="11" t="s">
        <v>49</v>
      </c>
    </row>
    <row r="419">
      <c r="E419" s="11" t="s">
        <v>49</v>
      </c>
    </row>
    <row r="420">
      <c r="E420" s="11" t="s">
        <v>49</v>
      </c>
    </row>
    <row r="421">
      <c r="E421" s="11" t="s">
        <v>49</v>
      </c>
    </row>
    <row r="422">
      <c r="E422" s="11" t="s">
        <v>49</v>
      </c>
    </row>
    <row r="423">
      <c r="E423" s="11" t="s">
        <v>49</v>
      </c>
    </row>
    <row r="424">
      <c r="E424" s="11" t="s">
        <v>49</v>
      </c>
    </row>
    <row r="425">
      <c r="E425" s="11" t="s">
        <v>49</v>
      </c>
    </row>
    <row r="426">
      <c r="E426" s="11" t="s">
        <v>49</v>
      </c>
    </row>
    <row r="427">
      <c r="E427" s="11" t="s">
        <v>49</v>
      </c>
    </row>
    <row r="428">
      <c r="E428" s="11" t="s">
        <v>49</v>
      </c>
    </row>
    <row r="429">
      <c r="E429" s="11" t="s">
        <v>49</v>
      </c>
    </row>
    <row r="430">
      <c r="E430" s="11" t="s">
        <v>49</v>
      </c>
    </row>
    <row r="431">
      <c r="E431" s="11" t="s">
        <v>49</v>
      </c>
    </row>
    <row r="432">
      <c r="E432" s="11" t="s">
        <v>49</v>
      </c>
    </row>
    <row r="433">
      <c r="E433" s="11" t="s">
        <v>49</v>
      </c>
    </row>
    <row r="434">
      <c r="E434" s="11" t="s">
        <v>49</v>
      </c>
    </row>
    <row r="435">
      <c r="E435" s="11" t="s">
        <v>49</v>
      </c>
    </row>
    <row r="436">
      <c r="E436" s="11" t="s">
        <v>49</v>
      </c>
    </row>
    <row r="437">
      <c r="E437" s="11" t="s">
        <v>49</v>
      </c>
    </row>
    <row r="438">
      <c r="E438" s="11" t="s">
        <v>49</v>
      </c>
    </row>
    <row r="439">
      <c r="E439" s="11" t="s">
        <v>49</v>
      </c>
    </row>
    <row r="440">
      <c r="E440" s="11" t="s">
        <v>49</v>
      </c>
    </row>
    <row r="441">
      <c r="E441" s="11" t="s">
        <v>49</v>
      </c>
    </row>
    <row r="442">
      <c r="E442" s="11" t="s">
        <v>49</v>
      </c>
    </row>
    <row r="443">
      <c r="E443" s="11" t="s">
        <v>49</v>
      </c>
    </row>
    <row r="444">
      <c r="E444" s="11" t="s">
        <v>49</v>
      </c>
    </row>
    <row r="445">
      <c r="E445" s="11" t="s">
        <v>49</v>
      </c>
    </row>
    <row r="446">
      <c r="E446" s="11" t="s">
        <v>49</v>
      </c>
    </row>
    <row r="447">
      <c r="E447" s="11" t="s">
        <v>49</v>
      </c>
    </row>
    <row r="448">
      <c r="E448" s="11" t="s">
        <v>49</v>
      </c>
    </row>
    <row r="449">
      <c r="E449" s="11" t="s">
        <v>49</v>
      </c>
    </row>
    <row r="450">
      <c r="E450" s="11" t="s">
        <v>49</v>
      </c>
    </row>
    <row r="451">
      <c r="E451" s="11" t="s">
        <v>49</v>
      </c>
    </row>
    <row r="452">
      <c r="E452" s="11" t="s">
        <v>49</v>
      </c>
    </row>
    <row r="453">
      <c r="E453" s="11" t="s">
        <v>49</v>
      </c>
    </row>
    <row r="454">
      <c r="E454" s="11" t="s">
        <v>49</v>
      </c>
    </row>
    <row r="455">
      <c r="E455" s="11" t="s">
        <v>49</v>
      </c>
    </row>
    <row r="456">
      <c r="E456" s="11" t="s">
        <v>49</v>
      </c>
    </row>
    <row r="457">
      <c r="E457" s="11" t="s">
        <v>49</v>
      </c>
    </row>
    <row r="458">
      <c r="E458" s="11" t="s">
        <v>49</v>
      </c>
    </row>
    <row r="459">
      <c r="E459" s="11" t="s">
        <v>49</v>
      </c>
    </row>
    <row r="460">
      <c r="E460" s="11" t="s">
        <v>49</v>
      </c>
    </row>
    <row r="461">
      <c r="E461" s="11" t="s">
        <v>49</v>
      </c>
    </row>
    <row r="462">
      <c r="E462" s="11" t="s">
        <v>49</v>
      </c>
    </row>
    <row r="463">
      <c r="E463" s="11" t="s">
        <v>49</v>
      </c>
    </row>
    <row r="464">
      <c r="E464" s="11" t="s">
        <v>49</v>
      </c>
    </row>
    <row r="465">
      <c r="E465" s="11" t="s">
        <v>49</v>
      </c>
    </row>
    <row r="466">
      <c r="E466" s="11" t="s">
        <v>49</v>
      </c>
    </row>
    <row r="467">
      <c r="E467" s="11" t="s">
        <v>49</v>
      </c>
    </row>
    <row r="468">
      <c r="E468" s="11" t="s">
        <v>49</v>
      </c>
    </row>
    <row r="469">
      <c r="E469" s="11" t="s">
        <v>49</v>
      </c>
    </row>
    <row r="470">
      <c r="E470" s="11" t="s">
        <v>49</v>
      </c>
    </row>
    <row r="471">
      <c r="E471" s="11" t="s">
        <v>49</v>
      </c>
    </row>
    <row r="472">
      <c r="E472" s="11" t="s">
        <v>49</v>
      </c>
    </row>
    <row r="473">
      <c r="E473" s="11" t="s">
        <v>49</v>
      </c>
    </row>
    <row r="474">
      <c r="E474" s="11" t="s">
        <v>49</v>
      </c>
    </row>
    <row r="475">
      <c r="E475" s="11" t="s">
        <v>49</v>
      </c>
    </row>
    <row r="476">
      <c r="E476" s="11" t="s">
        <v>49</v>
      </c>
    </row>
    <row r="477">
      <c r="E477" s="11" t="s">
        <v>49</v>
      </c>
    </row>
    <row r="478">
      <c r="E478" s="11" t="s">
        <v>49</v>
      </c>
    </row>
    <row r="479">
      <c r="E479" s="11" t="s">
        <v>49</v>
      </c>
    </row>
    <row r="480">
      <c r="E480" s="11" t="s">
        <v>49</v>
      </c>
    </row>
    <row r="481">
      <c r="E481" s="11" t="s">
        <v>49</v>
      </c>
    </row>
    <row r="482">
      <c r="E482" s="11" t="s">
        <v>49</v>
      </c>
    </row>
    <row r="483">
      <c r="E483" s="11" t="s">
        <v>49</v>
      </c>
    </row>
    <row r="484">
      <c r="E484" s="11" t="s">
        <v>49</v>
      </c>
    </row>
    <row r="485">
      <c r="E485" s="11" t="s">
        <v>49</v>
      </c>
    </row>
    <row r="486">
      <c r="E486" s="11" t="s">
        <v>49</v>
      </c>
    </row>
    <row r="487">
      <c r="E487" s="11" t="s">
        <v>49</v>
      </c>
    </row>
    <row r="488">
      <c r="E488" s="11" t="s">
        <v>49</v>
      </c>
    </row>
    <row r="489">
      <c r="E489" s="11" t="s">
        <v>49</v>
      </c>
    </row>
    <row r="490">
      <c r="E490" s="11" t="s">
        <v>49</v>
      </c>
    </row>
    <row r="491">
      <c r="E491" s="11" t="s">
        <v>49</v>
      </c>
    </row>
    <row r="492">
      <c r="E492" s="11" t="s">
        <v>49</v>
      </c>
    </row>
    <row r="493">
      <c r="E493" s="11" t="s">
        <v>49</v>
      </c>
    </row>
    <row r="494">
      <c r="E494" s="11" t="s">
        <v>49</v>
      </c>
    </row>
    <row r="495">
      <c r="E495" s="11" t="s">
        <v>49</v>
      </c>
    </row>
    <row r="496">
      <c r="E496" s="11" t="s">
        <v>49</v>
      </c>
    </row>
    <row r="497">
      <c r="E497" s="11" t="s">
        <v>49</v>
      </c>
    </row>
    <row r="498">
      <c r="E498" s="11" t="s">
        <v>49</v>
      </c>
    </row>
    <row r="499">
      <c r="E499" s="11" t="s">
        <v>49</v>
      </c>
    </row>
    <row r="500">
      <c r="E500" s="11" t="s">
        <v>49</v>
      </c>
    </row>
    <row r="501">
      <c r="E501" s="11" t="s">
        <v>49</v>
      </c>
    </row>
    <row r="502">
      <c r="E502" s="11" t="s">
        <v>49</v>
      </c>
    </row>
    <row r="503">
      <c r="E503" s="11" t="s">
        <v>49</v>
      </c>
    </row>
    <row r="504">
      <c r="E504" s="11" t="s">
        <v>49</v>
      </c>
    </row>
    <row r="505">
      <c r="E505" s="11" t="s">
        <v>49</v>
      </c>
    </row>
    <row r="506">
      <c r="E506" s="11" t="s">
        <v>49</v>
      </c>
    </row>
    <row r="507">
      <c r="E507" s="11" t="s">
        <v>49</v>
      </c>
    </row>
    <row r="508">
      <c r="E508" s="11" t="s">
        <v>49</v>
      </c>
    </row>
    <row r="509">
      <c r="E509" s="11" t="s">
        <v>49</v>
      </c>
    </row>
    <row r="510">
      <c r="E510" s="11" t="s">
        <v>49</v>
      </c>
    </row>
    <row r="511">
      <c r="E511" s="11" t="s">
        <v>49</v>
      </c>
    </row>
    <row r="512">
      <c r="E512" s="11" t="s">
        <v>49</v>
      </c>
    </row>
    <row r="513">
      <c r="E513" s="11" t="s">
        <v>49</v>
      </c>
    </row>
    <row r="514">
      <c r="E514" s="11" t="s">
        <v>49</v>
      </c>
    </row>
    <row r="515">
      <c r="E515" s="11" t="s">
        <v>49</v>
      </c>
    </row>
    <row r="516">
      <c r="E516" s="11" t="s">
        <v>49</v>
      </c>
    </row>
    <row r="517">
      <c r="E517" s="11" t="s">
        <v>49</v>
      </c>
    </row>
    <row r="518">
      <c r="E518" s="11" t="s">
        <v>49</v>
      </c>
    </row>
    <row r="519">
      <c r="E519" s="11" t="s">
        <v>49</v>
      </c>
    </row>
    <row r="520">
      <c r="E520" s="11" t="s">
        <v>49</v>
      </c>
    </row>
    <row r="521">
      <c r="E521" s="11" t="s">
        <v>49</v>
      </c>
    </row>
    <row r="522">
      <c r="E522" s="11" t="s">
        <v>49</v>
      </c>
    </row>
    <row r="523">
      <c r="E523" s="11" t="s">
        <v>49</v>
      </c>
    </row>
    <row r="524">
      <c r="E524" s="11" t="s">
        <v>49</v>
      </c>
    </row>
    <row r="525">
      <c r="E525" s="11" t="s">
        <v>49</v>
      </c>
    </row>
    <row r="526">
      <c r="E526" s="11" t="s">
        <v>49</v>
      </c>
    </row>
    <row r="527">
      <c r="E527" s="11" t="s">
        <v>49</v>
      </c>
    </row>
    <row r="528">
      <c r="E528" s="11" t="s">
        <v>49</v>
      </c>
    </row>
    <row r="529">
      <c r="E529" s="11" t="s">
        <v>49</v>
      </c>
    </row>
    <row r="530">
      <c r="E530" s="11" t="s">
        <v>49</v>
      </c>
    </row>
    <row r="531">
      <c r="E531" s="11" t="s">
        <v>49</v>
      </c>
    </row>
    <row r="532">
      <c r="E532" s="11" t="s">
        <v>49</v>
      </c>
    </row>
    <row r="533">
      <c r="E533" s="11" t="s">
        <v>49</v>
      </c>
    </row>
    <row r="534">
      <c r="E534" s="11" t="s">
        <v>49</v>
      </c>
    </row>
    <row r="535">
      <c r="E535" s="11" t="s">
        <v>49</v>
      </c>
    </row>
    <row r="536">
      <c r="E536" s="11" t="s">
        <v>49</v>
      </c>
    </row>
    <row r="537">
      <c r="E537" s="11" t="s">
        <v>49</v>
      </c>
    </row>
    <row r="538">
      <c r="E538" s="11" t="s">
        <v>49</v>
      </c>
    </row>
    <row r="539">
      <c r="E539" s="11" t="s">
        <v>49</v>
      </c>
    </row>
    <row r="540">
      <c r="E540" s="11" t="s">
        <v>49</v>
      </c>
    </row>
    <row r="541">
      <c r="E541" s="11" t="s">
        <v>49</v>
      </c>
    </row>
    <row r="542">
      <c r="E542" s="11" t="s">
        <v>49</v>
      </c>
    </row>
    <row r="543">
      <c r="E543" s="11" t="s">
        <v>49</v>
      </c>
    </row>
    <row r="544">
      <c r="E544" s="11" t="s">
        <v>49</v>
      </c>
    </row>
    <row r="545">
      <c r="E545" s="11" t="s">
        <v>49</v>
      </c>
    </row>
    <row r="546">
      <c r="E546" s="11" t="s">
        <v>49</v>
      </c>
    </row>
    <row r="547">
      <c r="E547" s="11" t="s">
        <v>49</v>
      </c>
    </row>
    <row r="548">
      <c r="E548" s="11" t="s">
        <v>49</v>
      </c>
    </row>
    <row r="549">
      <c r="E549" s="11" t="s">
        <v>49</v>
      </c>
    </row>
    <row r="550">
      <c r="E550" s="11" t="s">
        <v>49</v>
      </c>
    </row>
    <row r="551">
      <c r="E551" s="11" t="s">
        <v>49</v>
      </c>
    </row>
    <row r="552">
      <c r="E552" s="11" t="s">
        <v>49</v>
      </c>
    </row>
    <row r="553">
      <c r="E553" s="11" t="s">
        <v>49</v>
      </c>
    </row>
    <row r="554">
      <c r="E554" s="11" t="s">
        <v>49</v>
      </c>
    </row>
    <row r="555">
      <c r="E555" s="11" t="s">
        <v>49</v>
      </c>
    </row>
    <row r="556">
      <c r="E556" s="11" t="s">
        <v>49</v>
      </c>
    </row>
    <row r="557">
      <c r="E557" s="11" t="s">
        <v>49</v>
      </c>
    </row>
    <row r="558">
      <c r="E558" s="11" t="s">
        <v>49</v>
      </c>
    </row>
    <row r="559">
      <c r="E559" s="11" t="s">
        <v>49</v>
      </c>
    </row>
    <row r="560">
      <c r="E560" s="11" t="s">
        <v>49</v>
      </c>
    </row>
    <row r="561">
      <c r="E561" s="11" t="s">
        <v>49</v>
      </c>
    </row>
    <row r="562">
      <c r="E562" s="11" t="s">
        <v>49</v>
      </c>
    </row>
    <row r="563">
      <c r="E563" s="11" t="s">
        <v>49</v>
      </c>
    </row>
    <row r="564">
      <c r="E564" s="11" t="s">
        <v>49</v>
      </c>
    </row>
    <row r="565">
      <c r="E565" s="11" t="s">
        <v>49</v>
      </c>
    </row>
    <row r="566">
      <c r="E566" s="11" t="s">
        <v>49</v>
      </c>
    </row>
    <row r="567">
      <c r="E567" s="11" t="s">
        <v>49</v>
      </c>
    </row>
    <row r="568">
      <c r="E568" s="11" t="s">
        <v>49</v>
      </c>
    </row>
    <row r="569">
      <c r="E569" s="11" t="s">
        <v>49</v>
      </c>
    </row>
    <row r="570">
      <c r="E570" s="11" t="s">
        <v>49</v>
      </c>
    </row>
    <row r="571">
      <c r="E571" s="11" t="s">
        <v>49</v>
      </c>
    </row>
    <row r="572">
      <c r="E572" s="11" t="s">
        <v>49</v>
      </c>
    </row>
    <row r="573">
      <c r="E573" s="11" t="s">
        <v>49</v>
      </c>
    </row>
    <row r="574">
      <c r="E574" s="11" t="s">
        <v>49</v>
      </c>
    </row>
    <row r="575">
      <c r="E575" s="11" t="s">
        <v>49</v>
      </c>
    </row>
    <row r="576">
      <c r="E576" s="11" t="s">
        <v>49</v>
      </c>
    </row>
    <row r="577">
      <c r="E577" s="11" t="s">
        <v>49</v>
      </c>
    </row>
    <row r="578">
      <c r="E578" s="11" t="s">
        <v>49</v>
      </c>
    </row>
    <row r="579">
      <c r="E579" s="11" t="s">
        <v>49</v>
      </c>
    </row>
    <row r="580">
      <c r="E580" s="11" t="s">
        <v>49</v>
      </c>
    </row>
    <row r="581">
      <c r="E581" s="11" t="s">
        <v>49</v>
      </c>
    </row>
    <row r="582">
      <c r="E582" s="11" t="s">
        <v>49</v>
      </c>
    </row>
    <row r="583">
      <c r="E583" s="11" t="s">
        <v>49</v>
      </c>
    </row>
    <row r="584">
      <c r="E584" s="11" t="s">
        <v>49</v>
      </c>
    </row>
    <row r="585">
      <c r="E585" s="11" t="s">
        <v>49</v>
      </c>
    </row>
    <row r="586">
      <c r="E586" s="11" t="s">
        <v>49</v>
      </c>
    </row>
    <row r="587">
      <c r="E587" s="11" t="s">
        <v>49</v>
      </c>
    </row>
    <row r="588">
      <c r="E588" s="11" t="s">
        <v>49</v>
      </c>
    </row>
    <row r="589">
      <c r="E589" s="11" t="s">
        <v>49</v>
      </c>
    </row>
    <row r="590">
      <c r="E590" s="11" t="s">
        <v>49</v>
      </c>
    </row>
    <row r="591">
      <c r="E591" s="11" t="s">
        <v>49</v>
      </c>
    </row>
    <row r="592">
      <c r="E592" s="11" t="s">
        <v>49</v>
      </c>
    </row>
    <row r="593">
      <c r="E593" s="11" t="s">
        <v>49</v>
      </c>
    </row>
    <row r="594">
      <c r="E594" s="11" t="s">
        <v>49</v>
      </c>
    </row>
    <row r="595">
      <c r="E595" s="11" t="s">
        <v>49</v>
      </c>
    </row>
    <row r="596">
      <c r="E596" s="11" t="s">
        <v>49</v>
      </c>
    </row>
    <row r="597">
      <c r="E597" s="11" t="s">
        <v>49</v>
      </c>
    </row>
    <row r="598">
      <c r="E598" s="11" t="s">
        <v>49</v>
      </c>
    </row>
    <row r="599">
      <c r="E599" s="11" t="s">
        <v>49</v>
      </c>
    </row>
    <row r="600">
      <c r="E600" s="11" t="s">
        <v>49</v>
      </c>
    </row>
    <row r="601">
      <c r="E601" s="11" t="s">
        <v>49</v>
      </c>
    </row>
    <row r="602">
      <c r="E602" s="11" t="s">
        <v>49</v>
      </c>
    </row>
    <row r="603">
      <c r="E603" s="11" t="s">
        <v>49</v>
      </c>
    </row>
    <row r="604">
      <c r="E604" s="11" t="s">
        <v>49</v>
      </c>
    </row>
    <row r="605">
      <c r="E605" s="11" t="s">
        <v>49</v>
      </c>
    </row>
    <row r="606">
      <c r="E606" s="11" t="s">
        <v>49</v>
      </c>
    </row>
    <row r="607">
      <c r="E607" s="11" t="s">
        <v>49</v>
      </c>
    </row>
    <row r="608">
      <c r="E608" s="11" t="s">
        <v>49</v>
      </c>
    </row>
    <row r="609">
      <c r="E609" s="11" t="s">
        <v>49</v>
      </c>
    </row>
    <row r="610">
      <c r="E610" s="11" t="s">
        <v>49</v>
      </c>
    </row>
    <row r="611">
      <c r="E611" s="11" t="s">
        <v>49</v>
      </c>
    </row>
    <row r="612">
      <c r="E612" s="11" t="s">
        <v>49</v>
      </c>
    </row>
    <row r="613">
      <c r="E613" s="11" t="s">
        <v>49</v>
      </c>
    </row>
    <row r="614">
      <c r="E614" s="11" t="s">
        <v>49</v>
      </c>
    </row>
    <row r="615">
      <c r="E615" s="11" t="s">
        <v>49</v>
      </c>
    </row>
    <row r="616">
      <c r="E616" s="11" t="s">
        <v>49</v>
      </c>
    </row>
    <row r="617">
      <c r="E617" s="11" t="s">
        <v>49</v>
      </c>
    </row>
    <row r="618">
      <c r="E618" s="11" t="s">
        <v>49</v>
      </c>
    </row>
    <row r="619">
      <c r="E619" s="11" t="s">
        <v>49</v>
      </c>
    </row>
    <row r="620">
      <c r="E620" s="11" t="s">
        <v>49</v>
      </c>
    </row>
    <row r="621">
      <c r="E621" s="11" t="s">
        <v>49</v>
      </c>
    </row>
    <row r="622">
      <c r="E622" s="11" t="s">
        <v>49</v>
      </c>
    </row>
    <row r="623">
      <c r="E623" s="11" t="s">
        <v>49</v>
      </c>
    </row>
    <row r="624">
      <c r="E624" s="11" t="s">
        <v>49</v>
      </c>
    </row>
    <row r="625">
      <c r="E625" s="11" t="s">
        <v>49</v>
      </c>
    </row>
    <row r="626">
      <c r="E626" s="11" t="s">
        <v>49</v>
      </c>
    </row>
    <row r="627">
      <c r="E627" s="11" t="s">
        <v>49</v>
      </c>
    </row>
    <row r="628">
      <c r="E628" s="11" t="s">
        <v>49</v>
      </c>
    </row>
    <row r="629">
      <c r="E629" s="11" t="s">
        <v>49</v>
      </c>
    </row>
    <row r="630">
      <c r="E630" s="11" t="s">
        <v>49</v>
      </c>
    </row>
    <row r="631">
      <c r="E631" s="11" t="s">
        <v>49</v>
      </c>
    </row>
    <row r="632">
      <c r="E632" s="11" t="s">
        <v>49</v>
      </c>
    </row>
    <row r="633">
      <c r="E633" s="11" t="s">
        <v>49</v>
      </c>
    </row>
    <row r="634">
      <c r="E634" s="11" t="s">
        <v>49</v>
      </c>
    </row>
    <row r="635">
      <c r="E635" s="11" t="s">
        <v>49</v>
      </c>
    </row>
    <row r="636">
      <c r="E636" s="11" t="s">
        <v>49</v>
      </c>
    </row>
    <row r="637">
      <c r="E637" s="11" t="s">
        <v>49</v>
      </c>
    </row>
    <row r="638">
      <c r="E638" s="11" t="s">
        <v>49</v>
      </c>
    </row>
    <row r="639">
      <c r="E639" s="11" t="s">
        <v>49</v>
      </c>
    </row>
    <row r="640">
      <c r="E640" s="11" t="s">
        <v>49</v>
      </c>
    </row>
    <row r="641">
      <c r="E641" s="11" t="s">
        <v>49</v>
      </c>
    </row>
    <row r="642">
      <c r="E642" s="11" t="s">
        <v>49</v>
      </c>
    </row>
    <row r="643">
      <c r="E643" s="11" t="s">
        <v>49</v>
      </c>
    </row>
    <row r="644">
      <c r="E644" s="11" t="s">
        <v>49</v>
      </c>
    </row>
    <row r="645">
      <c r="E645" s="11" t="s">
        <v>49</v>
      </c>
    </row>
    <row r="646">
      <c r="E646" s="11" t="s">
        <v>49</v>
      </c>
    </row>
    <row r="647">
      <c r="E647" s="11" t="s">
        <v>49</v>
      </c>
    </row>
    <row r="648">
      <c r="E648" s="11" t="s">
        <v>49</v>
      </c>
    </row>
    <row r="649">
      <c r="E649" s="11" t="s">
        <v>49</v>
      </c>
    </row>
    <row r="650">
      <c r="E650" s="11" t="s">
        <v>49</v>
      </c>
    </row>
    <row r="651">
      <c r="E651" s="11" t="s">
        <v>49</v>
      </c>
    </row>
    <row r="652">
      <c r="E652" s="11" t="s">
        <v>49</v>
      </c>
    </row>
    <row r="653">
      <c r="E653" s="11" t="s">
        <v>49</v>
      </c>
    </row>
    <row r="654">
      <c r="E654" s="11" t="s">
        <v>49</v>
      </c>
    </row>
    <row r="655">
      <c r="E655" s="11" t="s">
        <v>49</v>
      </c>
    </row>
    <row r="656">
      <c r="E656" s="11" t="s">
        <v>49</v>
      </c>
    </row>
    <row r="657">
      <c r="E657" s="11" t="s">
        <v>49</v>
      </c>
    </row>
    <row r="658">
      <c r="E658" s="11" t="s">
        <v>49</v>
      </c>
    </row>
    <row r="659">
      <c r="E659" s="11" t="s">
        <v>49</v>
      </c>
    </row>
    <row r="660">
      <c r="E660" s="11" t="s">
        <v>49</v>
      </c>
    </row>
    <row r="661">
      <c r="E661" s="11" t="s">
        <v>49</v>
      </c>
    </row>
    <row r="662">
      <c r="E662" s="11" t="s">
        <v>49</v>
      </c>
    </row>
    <row r="663">
      <c r="E663" s="11" t="s">
        <v>49</v>
      </c>
    </row>
    <row r="664">
      <c r="E664" s="11" t="s">
        <v>49</v>
      </c>
    </row>
    <row r="665">
      <c r="E665" s="11" t="s">
        <v>49</v>
      </c>
    </row>
    <row r="666">
      <c r="E666" s="11" t="s">
        <v>49</v>
      </c>
    </row>
    <row r="667">
      <c r="E667" s="11" t="s">
        <v>49</v>
      </c>
    </row>
    <row r="668">
      <c r="E668" s="11" t="s">
        <v>49</v>
      </c>
    </row>
    <row r="669">
      <c r="E669" s="11" t="s">
        <v>49</v>
      </c>
    </row>
    <row r="670">
      <c r="E670" s="11" t="s">
        <v>49</v>
      </c>
    </row>
    <row r="671">
      <c r="E671" s="11" t="s">
        <v>49</v>
      </c>
    </row>
    <row r="672">
      <c r="E672" s="11" t="s">
        <v>49</v>
      </c>
    </row>
    <row r="673">
      <c r="E673" s="11" t="s">
        <v>49</v>
      </c>
    </row>
    <row r="674">
      <c r="E674" s="11" t="s">
        <v>49</v>
      </c>
    </row>
    <row r="675">
      <c r="E675" s="11" t="s">
        <v>49</v>
      </c>
    </row>
    <row r="676">
      <c r="E676" s="11" t="s">
        <v>49</v>
      </c>
    </row>
    <row r="677">
      <c r="E677" s="11" t="s">
        <v>49</v>
      </c>
    </row>
    <row r="678">
      <c r="E678" s="11" t="s">
        <v>49</v>
      </c>
    </row>
    <row r="679">
      <c r="E679" s="11" t="s">
        <v>49</v>
      </c>
    </row>
    <row r="680">
      <c r="E680" s="11" t="s">
        <v>49</v>
      </c>
    </row>
    <row r="681">
      <c r="E681" s="11" t="s">
        <v>49</v>
      </c>
    </row>
    <row r="682">
      <c r="E682" s="11" t="s">
        <v>49</v>
      </c>
    </row>
    <row r="683">
      <c r="E683" s="11" t="s">
        <v>49</v>
      </c>
    </row>
    <row r="684">
      <c r="E684" s="11" t="s">
        <v>49</v>
      </c>
    </row>
    <row r="685">
      <c r="E685" s="11" t="s">
        <v>49</v>
      </c>
    </row>
    <row r="686">
      <c r="E686" s="11" t="s">
        <v>49</v>
      </c>
    </row>
    <row r="687">
      <c r="E687" s="11" t="s">
        <v>49</v>
      </c>
    </row>
    <row r="688">
      <c r="E688" s="11" t="s">
        <v>49</v>
      </c>
    </row>
    <row r="689">
      <c r="E689" s="11" t="s">
        <v>49</v>
      </c>
    </row>
    <row r="690">
      <c r="E690" s="11" t="s">
        <v>49</v>
      </c>
    </row>
    <row r="691">
      <c r="E691" s="11" t="s">
        <v>49</v>
      </c>
    </row>
    <row r="692">
      <c r="E692" s="11" t="s">
        <v>49</v>
      </c>
    </row>
    <row r="693">
      <c r="E693" s="11" t="s">
        <v>49</v>
      </c>
    </row>
    <row r="694">
      <c r="E694" s="11" t="s">
        <v>49</v>
      </c>
    </row>
    <row r="695">
      <c r="E695" s="11" t="s">
        <v>49</v>
      </c>
    </row>
    <row r="696">
      <c r="E696" s="11" t="s">
        <v>49</v>
      </c>
    </row>
    <row r="697">
      <c r="E697" s="11" t="s">
        <v>49</v>
      </c>
    </row>
    <row r="698">
      <c r="E698" s="11" t="s">
        <v>49</v>
      </c>
    </row>
    <row r="699">
      <c r="E699" s="11" t="s">
        <v>49</v>
      </c>
    </row>
    <row r="700">
      <c r="E700" s="11" t="s">
        <v>49</v>
      </c>
    </row>
    <row r="701">
      <c r="E701" s="11" t="s">
        <v>49</v>
      </c>
    </row>
    <row r="702">
      <c r="E702" s="11" t="s">
        <v>49</v>
      </c>
    </row>
    <row r="703">
      <c r="E703" s="11" t="s">
        <v>49</v>
      </c>
    </row>
    <row r="704">
      <c r="E704" s="11" t="s">
        <v>49</v>
      </c>
    </row>
    <row r="705">
      <c r="E705" s="11" t="s">
        <v>49</v>
      </c>
    </row>
    <row r="706">
      <c r="E706" s="11" t="s">
        <v>49</v>
      </c>
    </row>
    <row r="707">
      <c r="E707" s="11" t="s">
        <v>49</v>
      </c>
    </row>
    <row r="708">
      <c r="E708" s="11" t="s">
        <v>49</v>
      </c>
    </row>
    <row r="709">
      <c r="E709" s="11" t="s">
        <v>49</v>
      </c>
    </row>
    <row r="710">
      <c r="E710" s="11" t="s">
        <v>49</v>
      </c>
    </row>
    <row r="711">
      <c r="E711" s="11" t="s">
        <v>49</v>
      </c>
    </row>
    <row r="712">
      <c r="E712" s="11" t="s">
        <v>49</v>
      </c>
    </row>
    <row r="713">
      <c r="E713" s="11" t="s">
        <v>49</v>
      </c>
    </row>
    <row r="714">
      <c r="E714" s="11" t="s">
        <v>49</v>
      </c>
    </row>
    <row r="715">
      <c r="E715" s="11" t="s">
        <v>49</v>
      </c>
    </row>
    <row r="716">
      <c r="E716" s="11" t="s">
        <v>49</v>
      </c>
    </row>
    <row r="717">
      <c r="E717" s="11" t="s">
        <v>49</v>
      </c>
    </row>
    <row r="718">
      <c r="E718" s="11" t="s">
        <v>49</v>
      </c>
    </row>
    <row r="719">
      <c r="E719" s="11" t="s">
        <v>49</v>
      </c>
    </row>
    <row r="720">
      <c r="E720" s="11" t="s">
        <v>49</v>
      </c>
    </row>
    <row r="721">
      <c r="E721" s="11" t="s">
        <v>49</v>
      </c>
    </row>
    <row r="722">
      <c r="E722" s="11" t="s">
        <v>49</v>
      </c>
    </row>
    <row r="723">
      <c r="E723" s="11" t="s">
        <v>49</v>
      </c>
    </row>
    <row r="724">
      <c r="E724" s="11" t="s">
        <v>49</v>
      </c>
    </row>
    <row r="725">
      <c r="E725" s="11" t="s">
        <v>49</v>
      </c>
    </row>
    <row r="726">
      <c r="E726" s="11" t="s">
        <v>49</v>
      </c>
    </row>
    <row r="727">
      <c r="E727" s="11" t="s">
        <v>49</v>
      </c>
    </row>
    <row r="728">
      <c r="E728" s="11" t="s">
        <v>49</v>
      </c>
    </row>
    <row r="729">
      <c r="E729" s="11" t="s">
        <v>49</v>
      </c>
    </row>
    <row r="730">
      <c r="E730" s="11" t="s">
        <v>49</v>
      </c>
    </row>
    <row r="731">
      <c r="E731" s="11" t="s">
        <v>49</v>
      </c>
    </row>
    <row r="732">
      <c r="E732" s="11" t="s">
        <v>49</v>
      </c>
    </row>
    <row r="733">
      <c r="E733" s="11" t="s">
        <v>49</v>
      </c>
    </row>
    <row r="734">
      <c r="E734" s="11" t="s">
        <v>49</v>
      </c>
    </row>
    <row r="735">
      <c r="E735" s="11" t="s">
        <v>49</v>
      </c>
    </row>
    <row r="736">
      <c r="E736" s="11" t="s">
        <v>49</v>
      </c>
    </row>
    <row r="737">
      <c r="E737" s="11" t="s">
        <v>49</v>
      </c>
    </row>
    <row r="738">
      <c r="E738" s="11" t="s">
        <v>49</v>
      </c>
    </row>
    <row r="739">
      <c r="E739" s="11" t="s">
        <v>49</v>
      </c>
    </row>
    <row r="740">
      <c r="E740" s="11" t="s">
        <v>49</v>
      </c>
    </row>
    <row r="741">
      <c r="E741" s="11" t="s">
        <v>49</v>
      </c>
    </row>
    <row r="742">
      <c r="E742" s="11" t="s">
        <v>49</v>
      </c>
    </row>
    <row r="743">
      <c r="E743" s="11" t="s">
        <v>49</v>
      </c>
    </row>
    <row r="744">
      <c r="E744" s="11" t="s">
        <v>49</v>
      </c>
    </row>
    <row r="745">
      <c r="E745" s="11" t="s">
        <v>49</v>
      </c>
    </row>
    <row r="746">
      <c r="E746" s="11" t="s">
        <v>49</v>
      </c>
    </row>
    <row r="747">
      <c r="E747" s="11" t="s">
        <v>49</v>
      </c>
    </row>
    <row r="748">
      <c r="E748" s="11" t="s">
        <v>49</v>
      </c>
    </row>
    <row r="749">
      <c r="E749" s="11" t="s">
        <v>49</v>
      </c>
    </row>
    <row r="750">
      <c r="E750" s="11" t="s">
        <v>49</v>
      </c>
    </row>
    <row r="751">
      <c r="E751" s="11" t="s">
        <v>49</v>
      </c>
    </row>
    <row r="752">
      <c r="E752" s="11" t="s">
        <v>49</v>
      </c>
    </row>
    <row r="753">
      <c r="E753" s="11" t="s">
        <v>49</v>
      </c>
    </row>
    <row r="754">
      <c r="E754" s="11" t="s">
        <v>49</v>
      </c>
    </row>
    <row r="755">
      <c r="E755" s="11" t="s">
        <v>49</v>
      </c>
    </row>
    <row r="756">
      <c r="E756" s="11" t="s">
        <v>49</v>
      </c>
    </row>
    <row r="757">
      <c r="E757" s="11" t="s">
        <v>49</v>
      </c>
    </row>
    <row r="758">
      <c r="E758" s="11" t="s">
        <v>49</v>
      </c>
    </row>
    <row r="759">
      <c r="E759" s="11" t="s">
        <v>49</v>
      </c>
    </row>
    <row r="760">
      <c r="E760" s="11" t="s">
        <v>49</v>
      </c>
    </row>
    <row r="761">
      <c r="E761" s="11" t="s">
        <v>49</v>
      </c>
    </row>
    <row r="762">
      <c r="E762" s="11" t="s">
        <v>49</v>
      </c>
    </row>
    <row r="763">
      <c r="E763" s="11" t="s">
        <v>49</v>
      </c>
    </row>
    <row r="764">
      <c r="E764" s="11" t="s">
        <v>49</v>
      </c>
    </row>
    <row r="765">
      <c r="E765" s="11" t="s">
        <v>49</v>
      </c>
    </row>
    <row r="766">
      <c r="E766" s="11" t="s">
        <v>49</v>
      </c>
    </row>
    <row r="767">
      <c r="E767" s="11" t="s">
        <v>49</v>
      </c>
    </row>
    <row r="768">
      <c r="E768" s="11" t="s">
        <v>49</v>
      </c>
    </row>
    <row r="769">
      <c r="E769" s="11" t="s">
        <v>49</v>
      </c>
    </row>
    <row r="770">
      <c r="E770" s="11" t="s">
        <v>49</v>
      </c>
    </row>
    <row r="771">
      <c r="E771" s="11" t="s">
        <v>49</v>
      </c>
    </row>
    <row r="772">
      <c r="E772" s="11" t="s">
        <v>49</v>
      </c>
    </row>
    <row r="773">
      <c r="E773" s="11" t="s">
        <v>49</v>
      </c>
    </row>
    <row r="774">
      <c r="E774" s="11" t="s">
        <v>49</v>
      </c>
    </row>
    <row r="775">
      <c r="E775" s="11" t="s">
        <v>49</v>
      </c>
    </row>
    <row r="776">
      <c r="E776" s="11" t="s">
        <v>49</v>
      </c>
    </row>
    <row r="777">
      <c r="E777" s="11" t="s">
        <v>49</v>
      </c>
    </row>
    <row r="778">
      <c r="E778" s="11" t="s">
        <v>49</v>
      </c>
    </row>
    <row r="779">
      <c r="E779" s="11" t="s">
        <v>49</v>
      </c>
    </row>
    <row r="780">
      <c r="E780" s="11" t="s">
        <v>49</v>
      </c>
    </row>
    <row r="781">
      <c r="E781" s="11" t="s">
        <v>49</v>
      </c>
    </row>
    <row r="782">
      <c r="E782" s="11" t="s">
        <v>49</v>
      </c>
    </row>
    <row r="783">
      <c r="E783" s="11" t="s">
        <v>49</v>
      </c>
    </row>
    <row r="784">
      <c r="E784" s="11" t="s">
        <v>49</v>
      </c>
    </row>
    <row r="785">
      <c r="E785" s="11" t="s">
        <v>49</v>
      </c>
    </row>
    <row r="786">
      <c r="E786" s="11" t="s">
        <v>49</v>
      </c>
    </row>
    <row r="787">
      <c r="E787" s="11" t="s">
        <v>49</v>
      </c>
    </row>
    <row r="788">
      <c r="E788" s="11" t="s">
        <v>49</v>
      </c>
    </row>
    <row r="789">
      <c r="E789" s="11" t="s">
        <v>49</v>
      </c>
    </row>
    <row r="790">
      <c r="E790" s="11" t="s">
        <v>49</v>
      </c>
    </row>
    <row r="791">
      <c r="E791" s="11" t="s">
        <v>49</v>
      </c>
    </row>
    <row r="792">
      <c r="E792" s="11" t="s">
        <v>49</v>
      </c>
    </row>
    <row r="793">
      <c r="E793" s="11" t="s">
        <v>49</v>
      </c>
    </row>
    <row r="794">
      <c r="E794" s="11" t="s">
        <v>49</v>
      </c>
    </row>
    <row r="795">
      <c r="E795" s="11" t="s">
        <v>49</v>
      </c>
    </row>
    <row r="796">
      <c r="E796" s="11" t="s">
        <v>49</v>
      </c>
    </row>
    <row r="797">
      <c r="E797" s="11" t="s">
        <v>49</v>
      </c>
    </row>
    <row r="798">
      <c r="E798" s="11" t="s">
        <v>49</v>
      </c>
    </row>
    <row r="799">
      <c r="E799" s="11" t="s">
        <v>49</v>
      </c>
    </row>
    <row r="800">
      <c r="E800" s="11" t="s">
        <v>49</v>
      </c>
    </row>
    <row r="801">
      <c r="E801" s="11" t="s">
        <v>49</v>
      </c>
    </row>
    <row r="802">
      <c r="E802" s="11" t="s">
        <v>49</v>
      </c>
    </row>
    <row r="803">
      <c r="E803" s="11" t="s">
        <v>49</v>
      </c>
    </row>
    <row r="804">
      <c r="E804" s="11" t="s">
        <v>49</v>
      </c>
    </row>
    <row r="805">
      <c r="E805" s="11" t="s">
        <v>49</v>
      </c>
    </row>
    <row r="806">
      <c r="E806" s="11" t="s">
        <v>49</v>
      </c>
    </row>
    <row r="807">
      <c r="E807" s="11" t="s">
        <v>49</v>
      </c>
    </row>
    <row r="808">
      <c r="E808" s="11" t="s">
        <v>49</v>
      </c>
    </row>
    <row r="809">
      <c r="E809" s="11" t="s">
        <v>49</v>
      </c>
    </row>
    <row r="810">
      <c r="E810" s="11" t="s">
        <v>49</v>
      </c>
    </row>
    <row r="811">
      <c r="E811" s="11" t="s">
        <v>49</v>
      </c>
    </row>
    <row r="812">
      <c r="E812" s="11" t="s">
        <v>49</v>
      </c>
    </row>
    <row r="813">
      <c r="E813" s="11" t="s">
        <v>49</v>
      </c>
    </row>
    <row r="814">
      <c r="E814" s="11" t="s">
        <v>49</v>
      </c>
    </row>
    <row r="815">
      <c r="E815" s="11" t="s">
        <v>49</v>
      </c>
    </row>
    <row r="816">
      <c r="E816" s="11" t="s">
        <v>49</v>
      </c>
    </row>
    <row r="817">
      <c r="E817" s="11" t="s">
        <v>49</v>
      </c>
    </row>
    <row r="818">
      <c r="E818" s="11" t="s">
        <v>49</v>
      </c>
    </row>
    <row r="819">
      <c r="E819" s="11" t="s">
        <v>49</v>
      </c>
    </row>
    <row r="820">
      <c r="E820" s="11" t="s">
        <v>49</v>
      </c>
    </row>
    <row r="821">
      <c r="E821" s="11" t="s">
        <v>49</v>
      </c>
    </row>
    <row r="822">
      <c r="E822" s="11" t="s">
        <v>49</v>
      </c>
    </row>
    <row r="823">
      <c r="E823" s="11" t="s">
        <v>49</v>
      </c>
    </row>
    <row r="824">
      <c r="E824" s="11" t="s">
        <v>49</v>
      </c>
    </row>
    <row r="825">
      <c r="E825" s="11" t="s">
        <v>49</v>
      </c>
    </row>
    <row r="826">
      <c r="E826" s="11" t="s">
        <v>49</v>
      </c>
    </row>
    <row r="827">
      <c r="E827" s="11" t="s">
        <v>49</v>
      </c>
    </row>
    <row r="828">
      <c r="E828" s="11" t="s">
        <v>49</v>
      </c>
    </row>
    <row r="829">
      <c r="E829" s="11" t="s">
        <v>49</v>
      </c>
    </row>
    <row r="830">
      <c r="E830" s="11" t="s">
        <v>49</v>
      </c>
    </row>
    <row r="831">
      <c r="E831" s="11" t="s">
        <v>49</v>
      </c>
    </row>
    <row r="832">
      <c r="E832" s="11" t="s">
        <v>49</v>
      </c>
    </row>
    <row r="833">
      <c r="E833" s="11" t="s">
        <v>49</v>
      </c>
    </row>
    <row r="834">
      <c r="E834" s="11" t="s">
        <v>49</v>
      </c>
    </row>
    <row r="835">
      <c r="E835" s="11" t="s">
        <v>49</v>
      </c>
    </row>
    <row r="836">
      <c r="E836" s="11" t="s">
        <v>49</v>
      </c>
    </row>
    <row r="837">
      <c r="E837" s="11" t="s">
        <v>49</v>
      </c>
    </row>
    <row r="838">
      <c r="E838" s="11" t="s">
        <v>49</v>
      </c>
    </row>
    <row r="839">
      <c r="E839" s="11" t="s">
        <v>49</v>
      </c>
    </row>
    <row r="840">
      <c r="E840" s="11" t="s">
        <v>49</v>
      </c>
    </row>
    <row r="841">
      <c r="E841" s="11" t="s">
        <v>49</v>
      </c>
    </row>
    <row r="842">
      <c r="E842" s="11" t="s">
        <v>49</v>
      </c>
    </row>
    <row r="843">
      <c r="E843" s="11" t="s">
        <v>49</v>
      </c>
    </row>
    <row r="844">
      <c r="E844" s="11" t="s">
        <v>49</v>
      </c>
    </row>
    <row r="845">
      <c r="E845" s="11" t="s">
        <v>49</v>
      </c>
    </row>
    <row r="846">
      <c r="E846" s="11" t="s">
        <v>49</v>
      </c>
    </row>
    <row r="847">
      <c r="E847" s="11" t="s">
        <v>49</v>
      </c>
    </row>
    <row r="848">
      <c r="E848" s="11" t="s">
        <v>49</v>
      </c>
    </row>
    <row r="849">
      <c r="E849" s="11" t="s">
        <v>49</v>
      </c>
    </row>
    <row r="850">
      <c r="E850" s="11" t="s">
        <v>49</v>
      </c>
    </row>
    <row r="851">
      <c r="E851" s="11" t="s">
        <v>49</v>
      </c>
    </row>
    <row r="852">
      <c r="E852" s="11" t="s">
        <v>49</v>
      </c>
    </row>
    <row r="853">
      <c r="E853" s="11" t="s">
        <v>49</v>
      </c>
    </row>
    <row r="854">
      <c r="E854" s="11" t="s">
        <v>49</v>
      </c>
    </row>
    <row r="855">
      <c r="E855" s="11" t="s">
        <v>49</v>
      </c>
    </row>
    <row r="856">
      <c r="E856" s="11" t="s">
        <v>49</v>
      </c>
    </row>
    <row r="857">
      <c r="E857" s="11" t="s">
        <v>49</v>
      </c>
    </row>
    <row r="858">
      <c r="E858" s="11" t="s">
        <v>49</v>
      </c>
    </row>
    <row r="859">
      <c r="E859" s="11" t="s">
        <v>49</v>
      </c>
    </row>
    <row r="860">
      <c r="E860" s="11" t="s">
        <v>49</v>
      </c>
    </row>
    <row r="861">
      <c r="E861" s="11" t="s">
        <v>49</v>
      </c>
    </row>
    <row r="862">
      <c r="E862" s="11" t="s">
        <v>49</v>
      </c>
    </row>
    <row r="863">
      <c r="E863" s="11" t="s">
        <v>49</v>
      </c>
    </row>
    <row r="864">
      <c r="E864" s="11" t="s">
        <v>49</v>
      </c>
    </row>
    <row r="865">
      <c r="E865" s="11" t="s">
        <v>49</v>
      </c>
    </row>
    <row r="866">
      <c r="E866" s="11" t="s">
        <v>49</v>
      </c>
    </row>
    <row r="867">
      <c r="E867" s="11" t="s">
        <v>49</v>
      </c>
    </row>
    <row r="868">
      <c r="E868" s="11" t="s">
        <v>49</v>
      </c>
    </row>
    <row r="869">
      <c r="E869" s="11" t="s">
        <v>49</v>
      </c>
    </row>
    <row r="870">
      <c r="E870" s="11" t="s">
        <v>49</v>
      </c>
    </row>
    <row r="871">
      <c r="E871" s="11" t="s">
        <v>49</v>
      </c>
    </row>
    <row r="872">
      <c r="E872" s="11" t="s">
        <v>49</v>
      </c>
    </row>
    <row r="873">
      <c r="E873" s="11" t="s">
        <v>49</v>
      </c>
    </row>
    <row r="874">
      <c r="E874" s="11" t="s">
        <v>49</v>
      </c>
    </row>
    <row r="875">
      <c r="E875" s="11" t="s">
        <v>49</v>
      </c>
    </row>
    <row r="876">
      <c r="E876" s="11" t="s">
        <v>49</v>
      </c>
    </row>
    <row r="877">
      <c r="E877" s="11" t="s">
        <v>49</v>
      </c>
    </row>
    <row r="878">
      <c r="E878" s="11" t="s">
        <v>49</v>
      </c>
    </row>
    <row r="879">
      <c r="E879" s="11" t="s">
        <v>49</v>
      </c>
    </row>
    <row r="880">
      <c r="E880" s="11" t="s">
        <v>49</v>
      </c>
    </row>
    <row r="881">
      <c r="E881" s="11" t="s">
        <v>49</v>
      </c>
    </row>
    <row r="882">
      <c r="E882" s="11" t="s">
        <v>49</v>
      </c>
    </row>
    <row r="883">
      <c r="E883" s="11" t="s">
        <v>49</v>
      </c>
    </row>
    <row r="884">
      <c r="E884" s="11" t="s">
        <v>49</v>
      </c>
    </row>
    <row r="885">
      <c r="E885" s="11" t="s">
        <v>49</v>
      </c>
    </row>
    <row r="886">
      <c r="E886" s="11" t="s">
        <v>49</v>
      </c>
    </row>
    <row r="887">
      <c r="E887" s="11" t="s">
        <v>49</v>
      </c>
    </row>
    <row r="888">
      <c r="E888" s="11" t="s">
        <v>49</v>
      </c>
    </row>
    <row r="889">
      <c r="E889" s="11" t="s">
        <v>49</v>
      </c>
    </row>
    <row r="890">
      <c r="E890" s="11" t="s">
        <v>49</v>
      </c>
    </row>
    <row r="891">
      <c r="E891" s="11" t="s">
        <v>49</v>
      </c>
    </row>
    <row r="892">
      <c r="E892" s="11" t="s">
        <v>49</v>
      </c>
    </row>
    <row r="893">
      <c r="E893" s="11" t="s">
        <v>49</v>
      </c>
    </row>
    <row r="894">
      <c r="E894" s="11" t="s">
        <v>49</v>
      </c>
    </row>
    <row r="895">
      <c r="E895" s="11" t="s">
        <v>49</v>
      </c>
    </row>
    <row r="896">
      <c r="E896" s="11" t="s">
        <v>49</v>
      </c>
    </row>
    <row r="897">
      <c r="E897" s="11" t="s">
        <v>49</v>
      </c>
    </row>
    <row r="898">
      <c r="E898" s="11" t="s">
        <v>49</v>
      </c>
    </row>
    <row r="899">
      <c r="E899" s="11" t="s">
        <v>49</v>
      </c>
    </row>
    <row r="900">
      <c r="E900" s="11" t="s">
        <v>49</v>
      </c>
    </row>
    <row r="901">
      <c r="E901" s="11" t="s">
        <v>49</v>
      </c>
    </row>
    <row r="902">
      <c r="E902" s="11" t="s">
        <v>49</v>
      </c>
    </row>
    <row r="903">
      <c r="E903" s="11" t="s">
        <v>49</v>
      </c>
    </row>
    <row r="904">
      <c r="E904" s="11" t="s">
        <v>49</v>
      </c>
    </row>
    <row r="905">
      <c r="E905" s="11" t="s">
        <v>49</v>
      </c>
    </row>
    <row r="906">
      <c r="E906" s="11" t="s">
        <v>49</v>
      </c>
    </row>
    <row r="907">
      <c r="E907" s="11" t="s">
        <v>49</v>
      </c>
    </row>
    <row r="908">
      <c r="E908" s="11" t="s">
        <v>49</v>
      </c>
    </row>
    <row r="909">
      <c r="E909" s="11" t="s">
        <v>49</v>
      </c>
    </row>
    <row r="910">
      <c r="E910" s="11" t="s">
        <v>49</v>
      </c>
    </row>
    <row r="911">
      <c r="E911" s="11" t="s">
        <v>49</v>
      </c>
    </row>
    <row r="912">
      <c r="E912" s="11" t="s">
        <v>49</v>
      </c>
    </row>
    <row r="913">
      <c r="E913" s="11" t="s">
        <v>49</v>
      </c>
    </row>
    <row r="914">
      <c r="E914" s="11" t="s">
        <v>49</v>
      </c>
    </row>
    <row r="915">
      <c r="E915" s="11" t="s">
        <v>49</v>
      </c>
    </row>
    <row r="916">
      <c r="E916" s="11" t="s">
        <v>49</v>
      </c>
    </row>
    <row r="917">
      <c r="E917" s="11" t="s">
        <v>49</v>
      </c>
    </row>
    <row r="918">
      <c r="E918" s="11" t="s">
        <v>49</v>
      </c>
    </row>
    <row r="919">
      <c r="E919" s="11" t="s">
        <v>49</v>
      </c>
    </row>
    <row r="920">
      <c r="E920" s="11" t="s">
        <v>49</v>
      </c>
    </row>
    <row r="921">
      <c r="E921" s="11" t="s">
        <v>49</v>
      </c>
    </row>
    <row r="922">
      <c r="E922" s="11" t="s">
        <v>49</v>
      </c>
    </row>
    <row r="923">
      <c r="E923" s="11" t="s">
        <v>49</v>
      </c>
    </row>
    <row r="924">
      <c r="E924" s="11" t="s">
        <v>49</v>
      </c>
    </row>
    <row r="925">
      <c r="E925" s="11" t="s">
        <v>49</v>
      </c>
    </row>
    <row r="926">
      <c r="E926" s="11" t="s">
        <v>49</v>
      </c>
    </row>
    <row r="927">
      <c r="E927" s="11" t="s">
        <v>49</v>
      </c>
    </row>
    <row r="928">
      <c r="E928" s="11" t="s">
        <v>49</v>
      </c>
    </row>
    <row r="929">
      <c r="E929" s="11" t="s">
        <v>49</v>
      </c>
    </row>
    <row r="930">
      <c r="E930" s="11" t="s">
        <v>49</v>
      </c>
    </row>
    <row r="931">
      <c r="E931" s="11" t="s">
        <v>49</v>
      </c>
    </row>
    <row r="932">
      <c r="E932" s="11" t="s">
        <v>49</v>
      </c>
    </row>
    <row r="933">
      <c r="E933" s="11" t="s">
        <v>49</v>
      </c>
    </row>
    <row r="934">
      <c r="E934" s="11" t="s">
        <v>49</v>
      </c>
    </row>
    <row r="935">
      <c r="E935" s="11" t="s">
        <v>49</v>
      </c>
    </row>
    <row r="936">
      <c r="E936" s="11" t="s">
        <v>49</v>
      </c>
    </row>
    <row r="937">
      <c r="E937" s="11" t="s">
        <v>49</v>
      </c>
    </row>
    <row r="938">
      <c r="E938" s="11" t="s">
        <v>49</v>
      </c>
    </row>
    <row r="939">
      <c r="E939" s="11" t="s">
        <v>49</v>
      </c>
    </row>
    <row r="940">
      <c r="E940" s="11" t="s">
        <v>49</v>
      </c>
    </row>
    <row r="941">
      <c r="E941" s="11" t="s">
        <v>49</v>
      </c>
    </row>
    <row r="942">
      <c r="E942" s="11" t="s">
        <v>49</v>
      </c>
    </row>
    <row r="943">
      <c r="E943" s="11" t="s">
        <v>49</v>
      </c>
    </row>
    <row r="944">
      <c r="E944" s="11" t="s">
        <v>49</v>
      </c>
    </row>
    <row r="945">
      <c r="E945" s="11" t="s">
        <v>49</v>
      </c>
    </row>
    <row r="946">
      <c r="E946" s="11" t="s">
        <v>49</v>
      </c>
    </row>
    <row r="947">
      <c r="E947" s="11" t="s">
        <v>49</v>
      </c>
    </row>
    <row r="948">
      <c r="E948" s="11" t="s">
        <v>49</v>
      </c>
    </row>
    <row r="949">
      <c r="E949" s="11" t="s">
        <v>49</v>
      </c>
    </row>
    <row r="950">
      <c r="E950" s="11" t="s">
        <v>49</v>
      </c>
    </row>
    <row r="951">
      <c r="E951" s="11" t="s">
        <v>49</v>
      </c>
    </row>
    <row r="952">
      <c r="E952" s="11" t="s">
        <v>49</v>
      </c>
    </row>
    <row r="953">
      <c r="E953" s="11" t="s">
        <v>49</v>
      </c>
    </row>
    <row r="954">
      <c r="E954" s="11" t="s">
        <v>49</v>
      </c>
    </row>
    <row r="955">
      <c r="E955" s="11" t="s">
        <v>49</v>
      </c>
    </row>
    <row r="956">
      <c r="E956" s="11" t="s">
        <v>49</v>
      </c>
    </row>
    <row r="957">
      <c r="E957" s="11" t="s">
        <v>49</v>
      </c>
    </row>
    <row r="958">
      <c r="E958" s="11" t="s">
        <v>49</v>
      </c>
    </row>
    <row r="959">
      <c r="E959" s="11" t="s">
        <v>49</v>
      </c>
    </row>
    <row r="960">
      <c r="E960" s="11" t="s">
        <v>49</v>
      </c>
    </row>
    <row r="961">
      <c r="E961" s="11" t="s">
        <v>49</v>
      </c>
    </row>
    <row r="962">
      <c r="E962" s="11" t="s">
        <v>49</v>
      </c>
    </row>
    <row r="963">
      <c r="E963" s="11" t="s">
        <v>49</v>
      </c>
    </row>
    <row r="964">
      <c r="E964" s="11" t="s">
        <v>49</v>
      </c>
    </row>
    <row r="965">
      <c r="E965" s="11" t="s">
        <v>49</v>
      </c>
    </row>
    <row r="966">
      <c r="E966" s="11" t="s">
        <v>49</v>
      </c>
    </row>
    <row r="967">
      <c r="E967" s="11" t="s">
        <v>49</v>
      </c>
    </row>
    <row r="968">
      <c r="E968" s="11" t="s">
        <v>49</v>
      </c>
    </row>
    <row r="969">
      <c r="E969" s="11" t="s">
        <v>49</v>
      </c>
    </row>
    <row r="970">
      <c r="E970" s="11" t="s">
        <v>49</v>
      </c>
    </row>
    <row r="971">
      <c r="E971" s="11" t="s">
        <v>49</v>
      </c>
    </row>
    <row r="972">
      <c r="E972" s="11" t="s">
        <v>49</v>
      </c>
    </row>
    <row r="973">
      <c r="E973" s="11" t="s">
        <v>49</v>
      </c>
    </row>
    <row r="974">
      <c r="E974" s="11" t="s">
        <v>49</v>
      </c>
    </row>
    <row r="975">
      <c r="E975" s="11" t="s">
        <v>49</v>
      </c>
    </row>
    <row r="976">
      <c r="E976" s="11" t="s">
        <v>49</v>
      </c>
    </row>
    <row r="977">
      <c r="E977" s="11" t="s">
        <v>49</v>
      </c>
    </row>
    <row r="978">
      <c r="E978" s="11" t="s">
        <v>49</v>
      </c>
    </row>
    <row r="979">
      <c r="E979" s="11" t="s">
        <v>49</v>
      </c>
    </row>
    <row r="980">
      <c r="E980" s="11" t="s">
        <v>49</v>
      </c>
    </row>
    <row r="981">
      <c r="E981" s="11" t="s">
        <v>49</v>
      </c>
    </row>
    <row r="982">
      <c r="E982" s="11" t="s">
        <v>49</v>
      </c>
    </row>
    <row r="983">
      <c r="E983" s="11" t="s">
        <v>49</v>
      </c>
    </row>
    <row r="984">
      <c r="E984" s="11" t="s">
        <v>49</v>
      </c>
    </row>
    <row r="985">
      <c r="E985" s="11" t="s">
        <v>49</v>
      </c>
    </row>
    <row r="986">
      <c r="E986" s="11" t="s">
        <v>49</v>
      </c>
    </row>
    <row r="987">
      <c r="E987" s="11" t="s">
        <v>49</v>
      </c>
    </row>
    <row r="988">
      <c r="E988" s="11" t="s">
        <v>49</v>
      </c>
    </row>
    <row r="989">
      <c r="E989" s="11" t="s">
        <v>49</v>
      </c>
    </row>
    <row r="990">
      <c r="E990" s="11" t="s">
        <v>49</v>
      </c>
    </row>
    <row r="991">
      <c r="E991" s="11" t="s">
        <v>49</v>
      </c>
    </row>
    <row r="992">
      <c r="E992" s="11" t="s">
        <v>49</v>
      </c>
    </row>
    <row r="993">
      <c r="E993" s="11" t="s">
        <v>49</v>
      </c>
    </row>
    <row r="994">
      <c r="E994" s="11" t="s">
        <v>49</v>
      </c>
    </row>
    <row r="995">
      <c r="E995" s="11" t="s">
        <v>49</v>
      </c>
    </row>
    <row r="996">
      <c r="E996" s="11" t="s">
        <v>49</v>
      </c>
    </row>
    <row r="997">
      <c r="E997" s="11" t="s">
        <v>49</v>
      </c>
    </row>
    <row r="998">
      <c r="E998" s="11" t="s">
        <v>49</v>
      </c>
    </row>
    <row r="999">
      <c r="E999" s="11" t="s">
        <v>49</v>
      </c>
    </row>
    <row r="1000">
      <c r="E1000" s="11" t="s">
        <v>49</v>
      </c>
    </row>
  </sheetData>
  <autoFilter ref="$A$1:$AC$184"/>
  <conditionalFormatting sqref="J1:J185 L1">
    <cfRule type="cellIs" dxfId="0" priority="1" operator="equal">
      <formula>"Sin iniciar"</formula>
    </cfRule>
  </conditionalFormatting>
  <conditionalFormatting sqref="J1:J185 L1">
    <cfRule type="cellIs" dxfId="1" priority="2" operator="equal">
      <formula>"En progreso"</formula>
    </cfRule>
  </conditionalFormatting>
  <conditionalFormatting sqref="J1:J185 L1">
    <cfRule type="cellIs" dxfId="2" priority="3" operator="equal">
      <formula>"Completado"</formula>
    </cfRule>
  </conditionalFormatting>
  <conditionalFormatting sqref="K2:K185">
    <cfRule type="cellIs" dxfId="3" priority="4" operator="equal">
      <formula>"⚠️ Vencida"</formula>
    </cfRule>
  </conditionalFormatting>
  <conditionalFormatting sqref="N9">
    <cfRule type="cellIs" dxfId="3" priority="5" operator="equal">
      <formula>"⚠️ Vencida"</formula>
    </cfRule>
  </conditionalFormatting>
  <conditionalFormatting sqref="N9">
    <cfRule type="cellIs" dxfId="4" priority="6" operator="equal">
      <formula>"OK"</formula>
    </cfRule>
  </conditionalFormatting>
  <conditionalFormatting sqref="K2:K184">
    <cfRule type="cellIs" dxfId="5" priority="7" operator="equal">
      <formula>"✅ OK"</formula>
    </cfRule>
  </conditionalFormatting>
  <conditionalFormatting sqref="K2:K184">
    <cfRule type="cellIs" dxfId="6" priority="8" operator="equal">
      <formula>"❌ Cancelado"</formula>
    </cfRule>
  </conditionalFormatting>
  <conditionalFormatting sqref="K6">
    <cfRule type="cellIs" dxfId="7" priority="9" operator="equal">
      <formula>"⏸️ En pausa"</formula>
    </cfRule>
  </conditionalFormatting>
  <conditionalFormatting sqref="K2:K184">
    <cfRule type="cellIs" dxfId="8" priority="10" operator="equal">
      <formula>"⏸️ En pausa"</formula>
    </cfRule>
  </conditionalFormatting>
  <dataValidations>
    <dataValidation type="list" allowBlank="1" showErrorMessage="1" sqref="F2:F184">
      <formula1>Conf_Listas!$C$2:$C$30</formula1>
    </dataValidation>
    <dataValidation type="list" allowBlank="1" showErrorMessage="1" sqref="D2:D184">
      <formula1>Conf_Listas!$A$2:$A$8</formula1>
    </dataValidation>
    <dataValidation type="list" allowBlank="1" showErrorMessage="1" sqref="G2:G184">
      <formula1>Conf_Listas!$D$2:$D$6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13"/>
    <col customWidth="1" min="2" max="2" width="16.38"/>
    <col customWidth="1" min="4" max="4" width="32.0"/>
    <col customWidth="1" min="10" max="10" width="35.38"/>
    <col customWidth="1" min="11" max="11" width="16.13"/>
  </cols>
  <sheetData>
    <row r="2">
      <c r="A2" s="11" t="s">
        <v>50</v>
      </c>
      <c r="D2" s="4" t="s">
        <v>51</v>
      </c>
      <c r="J2" s="15" t="s">
        <v>52</v>
      </c>
    </row>
    <row r="3">
      <c r="E3" s="11"/>
      <c r="F3" s="11"/>
      <c r="G3" s="11"/>
      <c r="H3" s="11"/>
      <c r="K3" s="11"/>
    </row>
    <row r="4">
      <c r="E4" s="11"/>
      <c r="F4" s="11"/>
      <c r="G4" s="11"/>
      <c r="H4" s="11"/>
      <c r="K4" s="11"/>
    </row>
    <row r="5">
      <c r="E5" s="11"/>
      <c r="F5" s="11"/>
      <c r="G5" s="11"/>
      <c r="H5" s="11"/>
      <c r="K5" s="11"/>
    </row>
    <row r="6">
      <c r="E6" s="11"/>
      <c r="F6" s="11"/>
      <c r="G6" s="11"/>
      <c r="H6" s="11"/>
      <c r="K6" s="11"/>
    </row>
    <row r="7">
      <c r="E7" s="11"/>
      <c r="F7" s="11"/>
      <c r="G7" s="11"/>
      <c r="H7" s="11"/>
      <c r="K7" s="11"/>
    </row>
    <row r="8">
      <c r="E8" s="11"/>
      <c r="F8" s="11"/>
      <c r="G8" s="11"/>
      <c r="H8" s="11"/>
      <c r="K8" s="11"/>
    </row>
    <row r="9">
      <c r="A9" s="15" t="s">
        <v>58</v>
      </c>
      <c r="E9" s="11"/>
      <c r="F9" s="11"/>
      <c r="G9" s="11"/>
      <c r="H9" s="11"/>
      <c r="K9" s="11"/>
    </row>
    <row r="10">
      <c r="E10" s="11"/>
      <c r="F10" s="11"/>
      <c r="G10" s="11"/>
      <c r="H10" s="11"/>
      <c r="K10" s="11"/>
    </row>
    <row r="11">
      <c r="E11" s="11"/>
      <c r="F11" s="11"/>
      <c r="G11" s="11"/>
      <c r="H11" s="11"/>
    </row>
    <row r="12"/>
    <row r="13"/>
    <row r="14"/>
    <row r="15"/>
    <row r="16"/>
    <row r="17"/>
    <row r="18"/>
    <row r="20">
      <c r="B20" s="17" t="s">
        <v>61</v>
      </c>
    </row>
    <row r="21">
      <c r="B21" s="17" t="s">
        <v>62</v>
      </c>
      <c r="E21" s="17"/>
      <c r="F21" s="17"/>
      <c r="G21" s="17"/>
      <c r="H21" s="17"/>
      <c r="I21" s="17"/>
      <c r="J21" s="17"/>
      <c r="K21" s="17"/>
    </row>
    <row r="22">
      <c r="D22" s="4" t="s">
        <v>63</v>
      </c>
      <c r="E22" s="17"/>
      <c r="F22" s="17"/>
      <c r="G22" s="17"/>
      <c r="H22" s="17"/>
      <c r="I22" s="17"/>
      <c r="J22" s="17"/>
      <c r="K22" s="17"/>
    </row>
    <row r="23">
      <c r="A23" s="4" t="s">
        <v>41</v>
      </c>
      <c r="B23" s="4" t="s">
        <v>64</v>
      </c>
      <c r="C23" s="4" t="s">
        <v>65</v>
      </c>
      <c r="D23" s="4" t="s">
        <v>66</v>
      </c>
    </row>
    <row r="24">
      <c r="A24" s="18" t="s">
        <v>8</v>
      </c>
      <c r="B24" s="11">
        <f>IFERROR(AVERAGEIF('Cronograma Mayo 2026'!D:D, A24, 'Cronograma Mayo 2026'!I:I), 0)</f>
        <v>1</v>
      </c>
      <c r="C24" s="11">
        <f>IFERROR(__xludf.DUMMYFUNCTION("IFERROR(
  AVERAGE(
    FILTER('Respuestas de formulario 1'!E:L, 'Respuestas de formulario 1'!B:B = A2)
  ), 0
)"),0.0)</f>
        <v>0</v>
      </c>
      <c r="D24" s="11">
        <f t="shared" ref="D24:D30" si="1">IF(AND(B24&gt;0, C24&gt;0), ( (B24 * 100) + (C24 * 20) ) / 2, 0)</f>
        <v>0</v>
      </c>
    </row>
    <row r="25">
      <c r="A25" s="18" t="s">
        <v>4</v>
      </c>
      <c r="B25" s="11">
        <f>IFERROR(AVERAGEIF('Cronograma Mayo 2026'!D:D, A25, 'Cronograma Mayo 2026'!I:I), 0)</f>
        <v>0</v>
      </c>
      <c r="C25" s="11">
        <f>IFERROR(__xludf.DUMMYFUNCTION("IFERROR(
  AVERAGE(
    FILTER('Respuestas de formulario 1'!E:L, 'Respuestas de formulario 1'!B:B = A3)
  ), 0
)"),0.0)</f>
        <v>0</v>
      </c>
      <c r="D25" s="11">
        <f t="shared" si="1"/>
        <v>0</v>
      </c>
    </row>
    <row r="26">
      <c r="A26" s="18" t="s">
        <v>12</v>
      </c>
      <c r="B26" s="11">
        <f>IFERROR(AVERAGEIF('Cronograma Mayo 2026'!D:D, A26, 'Cronograma Mayo 2026'!I:I), 0)</f>
        <v>0.08</v>
      </c>
      <c r="C26" s="11">
        <f>IFERROR(__xludf.DUMMYFUNCTION("IFERROR(
  AVERAGE(
    FILTER('Respuestas de formulario 1'!E:L, 'Respuestas de formulario 1'!B:B = A4)
  ), 0
)"),0.0)</f>
        <v>0</v>
      </c>
      <c r="D26" s="11">
        <f t="shared" si="1"/>
        <v>0</v>
      </c>
    </row>
    <row r="27">
      <c r="A27" s="18" t="s">
        <v>16</v>
      </c>
      <c r="B27" s="11">
        <f>IFERROR(AVERAGEIF('Cronograma Mayo 2026'!D:D, A27, 'Cronograma Mayo 2026'!I:I), 0)</f>
        <v>0.395</v>
      </c>
      <c r="C27" s="11">
        <f>IFERROR(__xludf.DUMMYFUNCTION("IFERROR(
  AVERAGE(
    FILTER('Respuestas de formulario 1'!E:L, 'Respuestas de formulario 1'!B:B = A5)
  ), 0
)"),0.0)</f>
        <v>0</v>
      </c>
      <c r="D27" s="11">
        <f t="shared" si="1"/>
        <v>0</v>
      </c>
    </row>
    <row r="28">
      <c r="A28" s="18" t="s">
        <v>20</v>
      </c>
      <c r="B28" s="11">
        <f>IFERROR(AVERAGEIF('Cronograma Mayo 2026'!D:D, A28, 'Cronograma Mayo 2026'!I:I), 0)</f>
        <v>0.495</v>
      </c>
      <c r="C28" s="11">
        <f>IFERROR(__xludf.DUMMYFUNCTION("IFERROR(
  AVERAGE(
    FILTER('Respuestas de formulario 1'!E:L, 'Respuestas de formulario 1'!B:B = A6)
  ), 0
)"),0.0)</f>
        <v>0</v>
      </c>
      <c r="D28" s="11">
        <f t="shared" si="1"/>
        <v>0</v>
      </c>
    </row>
    <row r="29">
      <c r="A29" s="18" t="s">
        <v>23</v>
      </c>
      <c r="B29" s="11">
        <f>IFERROR(AVERAGEIF('Cronograma Mayo 2026'!D:D, A29, 'Cronograma Mayo 2026'!I:I), 0)</f>
        <v>0</v>
      </c>
      <c r="C29" s="11">
        <f>IFERROR(__xludf.DUMMYFUNCTION("IFERROR(
  AVERAGE(
    FILTER('Respuestas de formulario 1'!E:L, 'Respuestas de formulario 1'!B:B = A7)
  ), 0
)"),0.0)</f>
        <v>0</v>
      </c>
      <c r="D29" s="11">
        <f t="shared" si="1"/>
        <v>0</v>
      </c>
    </row>
    <row r="30">
      <c r="A30" s="18" t="s">
        <v>67</v>
      </c>
      <c r="B30" s="11">
        <f>IFERROR(AVERAGEIF('Cronograma Mayo 2026'!D:D, A30, 'Cronograma Mayo 2026'!I:I), 0)</f>
        <v>0</v>
      </c>
      <c r="C30" s="11">
        <f>IFERROR(__xludf.DUMMYFUNCTION("IFERROR(
  AVERAGE(
    FILTER('Respuestas de formulario 1'!E:L, 'Respuestas de formulario 1'!B:B = A8)
  ), 0
)"),0.0)</f>
        <v>0</v>
      </c>
      <c r="D30" s="11">
        <f t="shared" si="1"/>
        <v>0</v>
      </c>
    </row>
  </sheetData>
  <conditionalFormatting sqref="D24:D30">
    <cfRule type="notContainsBlanks" dxfId="9" priority="1">
      <formula>LEN(TRIM(D24))&gt;0</formula>
    </cfRule>
  </conditionalFormatting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0"/>
    <col customWidth="1" min="3" max="3" width="18.88"/>
    <col customWidth="1" min="4" max="14" width="37.63"/>
    <col customWidth="1" min="15" max="15" width="24.75"/>
    <col customWidth="1" min="16" max="21" width="18.88"/>
  </cols>
  <sheetData>
    <row r="1" ht="22.5" customHeight="1">
      <c r="A1" s="19" t="s">
        <v>68</v>
      </c>
      <c r="B1" s="19" t="s">
        <v>69</v>
      </c>
      <c r="C1" s="19" t="s">
        <v>70</v>
      </c>
      <c r="D1" s="19" t="s">
        <v>71</v>
      </c>
      <c r="E1" s="19" t="s">
        <v>72</v>
      </c>
      <c r="F1" s="19" t="s">
        <v>73</v>
      </c>
      <c r="G1" s="19" t="s">
        <v>74</v>
      </c>
      <c r="H1" s="19" t="s">
        <v>75</v>
      </c>
      <c r="I1" s="19" t="s">
        <v>76</v>
      </c>
      <c r="J1" s="19" t="s">
        <v>77</v>
      </c>
      <c r="K1" s="19" t="s">
        <v>78</v>
      </c>
      <c r="L1" s="19" t="s">
        <v>79</v>
      </c>
      <c r="M1" s="19" t="s">
        <v>80</v>
      </c>
      <c r="N1" s="19" t="s">
        <v>81</v>
      </c>
      <c r="O1" s="19" t="s">
        <v>82</v>
      </c>
    </row>
  </sheetData>
  <drawing r:id="rId1"/>
  <tableParts count="1">
    <tablePart r:id="rId3"/>
  </tableParts>
</worksheet>
</file>